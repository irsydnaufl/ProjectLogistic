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syad\Downloads\"/>
    </mc:Choice>
  </mc:AlternateContent>
  <xr:revisionPtr revIDLastSave="0" documentId="13_ncr:1_{21A39F17-9D45-4695-BE23-2BCA3137604B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Dashboard" sheetId="7" r:id="rId1"/>
    <sheet name="Kode Data" sheetId="1" r:id="rId2"/>
    <sheet name="Master Data" sheetId="2" r:id="rId3"/>
    <sheet name="Tracking Distribusi Barang" sheetId="3" r:id="rId4"/>
    <sheet name="Pivot Tabel" sheetId="6" r:id="rId5"/>
  </sheets>
  <definedNames>
    <definedName name="_xlnm._FilterDatabase" localSheetId="2" hidden="1">'Master Data'!$A$1:$Q$949</definedName>
    <definedName name="_xlnm._FilterDatabase" localSheetId="3" hidden="1">'Tracking Distribusi Barang'!$A$1:$O$107</definedName>
    <definedName name="Barang">'Kode Data'!$B$3:$C$23</definedName>
    <definedName name="Ekspedisi">'Kode Data'!$E$9:$F$13</definedName>
    <definedName name="Kategori">'Kode Data'!$E$3:$G$6</definedName>
  </definedNames>
  <calcPr calcId="191029"/>
  <pivotCaches>
    <pivotCache cacheId="10" r:id="rId6"/>
    <pivotCache cacheId="15" r:id="rId7"/>
    <pivotCache cacheId="28" r:id="rId8"/>
  </pivotCaches>
</workbook>
</file>

<file path=xl/calcChain.xml><?xml version="1.0" encoding="utf-8"?>
<calcChain xmlns="http://schemas.openxmlformats.org/spreadsheetml/2006/main">
  <c r="O17" i="6" l="1"/>
  <c r="O16" i="6"/>
  <c r="P2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" i="2"/>
  <c r="Q5" i="2" l="1"/>
  <c r="Q12" i="2"/>
  <c r="Q11" i="2"/>
  <c r="Q3" i="2"/>
  <c r="Q4" i="2"/>
  <c r="Q20" i="2"/>
  <c r="Q6" i="2"/>
  <c r="Q8" i="2"/>
  <c r="Q7" i="2"/>
  <c r="Q15" i="2"/>
  <c r="Q14" i="2"/>
  <c r="Q9" i="2"/>
  <c r="Q17" i="2"/>
  <c r="O23" i="2"/>
  <c r="Q10" i="2"/>
  <c r="Q18" i="2"/>
  <c r="Q22" i="2"/>
  <c r="Q19" i="2"/>
  <c r="Q16" i="2"/>
  <c r="Q13" i="2"/>
  <c r="Q21" i="2"/>
  <c r="P23" i="2"/>
  <c r="Q2" i="2"/>
  <c r="Q23" i="2" l="1"/>
  <c r="O107" i="3"/>
  <c r="N107" i="3"/>
  <c r="J107" i="3"/>
  <c r="N106" i="3"/>
  <c r="O106" i="3" s="1"/>
  <c r="J106" i="3"/>
  <c r="O105" i="3"/>
  <c r="N105" i="3"/>
  <c r="J105" i="3"/>
  <c r="N104" i="3"/>
  <c r="O104" i="3" s="1"/>
  <c r="J104" i="3"/>
  <c r="N103" i="3"/>
  <c r="O103" i="3" s="1"/>
  <c r="J103" i="3"/>
  <c r="N102" i="3"/>
  <c r="O102" i="3" s="1"/>
  <c r="J102" i="3"/>
  <c r="O101" i="3"/>
  <c r="N101" i="3"/>
  <c r="J101" i="3"/>
  <c r="N100" i="3"/>
  <c r="O100" i="3" s="1"/>
  <c r="J100" i="3"/>
  <c r="O99" i="3"/>
  <c r="N99" i="3"/>
  <c r="J99" i="3"/>
  <c r="N98" i="3"/>
  <c r="O98" i="3" s="1"/>
  <c r="J98" i="3"/>
  <c r="N97" i="3"/>
  <c r="O97" i="3" s="1"/>
  <c r="J97" i="3"/>
  <c r="N96" i="3"/>
  <c r="O96" i="3" s="1"/>
  <c r="J96" i="3"/>
  <c r="O95" i="3"/>
  <c r="N95" i="3"/>
  <c r="J95" i="3"/>
  <c r="O94" i="3"/>
  <c r="N94" i="3"/>
  <c r="J94" i="3"/>
  <c r="O93" i="3"/>
  <c r="N93" i="3"/>
  <c r="J93" i="3"/>
  <c r="N92" i="3"/>
  <c r="O92" i="3" s="1"/>
  <c r="J92" i="3"/>
  <c r="O91" i="3"/>
  <c r="N91" i="3"/>
  <c r="J91" i="3"/>
  <c r="N90" i="3"/>
  <c r="O90" i="3" s="1"/>
  <c r="J90" i="3"/>
  <c r="N89" i="3"/>
  <c r="O89" i="3" s="1"/>
  <c r="J89" i="3"/>
  <c r="N88" i="3"/>
  <c r="O88" i="3" s="1"/>
  <c r="J88" i="3"/>
  <c r="O87" i="3"/>
  <c r="N87" i="3"/>
  <c r="J87" i="3"/>
  <c r="O86" i="3"/>
  <c r="N86" i="3"/>
  <c r="J86" i="3"/>
  <c r="O85" i="3"/>
  <c r="N85" i="3"/>
  <c r="J85" i="3"/>
  <c r="N84" i="3"/>
  <c r="O84" i="3" s="1"/>
  <c r="J84" i="3"/>
  <c r="O83" i="3"/>
  <c r="N83" i="3"/>
  <c r="J83" i="3"/>
  <c r="N82" i="3"/>
  <c r="O82" i="3" s="1"/>
  <c r="J82" i="3"/>
  <c r="N81" i="3"/>
  <c r="O81" i="3" s="1"/>
  <c r="J81" i="3"/>
  <c r="N80" i="3"/>
  <c r="O80" i="3" s="1"/>
  <c r="J80" i="3"/>
  <c r="O79" i="3"/>
  <c r="N79" i="3"/>
  <c r="J79" i="3"/>
  <c r="O78" i="3"/>
  <c r="N78" i="3"/>
  <c r="J78" i="3"/>
  <c r="O77" i="3"/>
  <c r="N77" i="3"/>
  <c r="J77" i="3"/>
  <c r="N76" i="3"/>
  <c r="O76" i="3" s="1"/>
  <c r="J76" i="3"/>
  <c r="O75" i="3"/>
  <c r="N75" i="3"/>
  <c r="J75" i="3"/>
  <c r="N74" i="3"/>
  <c r="O74" i="3" s="1"/>
  <c r="J74" i="3"/>
  <c r="N73" i="3"/>
  <c r="O73" i="3" s="1"/>
  <c r="J73" i="3"/>
  <c r="N72" i="3"/>
  <c r="O72" i="3" s="1"/>
  <c r="J72" i="3"/>
  <c r="O71" i="3"/>
  <c r="N71" i="3"/>
  <c r="J71" i="3"/>
  <c r="O70" i="3"/>
  <c r="N70" i="3"/>
  <c r="J70" i="3"/>
  <c r="O69" i="3"/>
  <c r="N69" i="3"/>
  <c r="J69" i="3"/>
  <c r="N68" i="3"/>
  <c r="O68" i="3" s="1"/>
  <c r="J68" i="3"/>
  <c r="O67" i="3"/>
  <c r="N67" i="3"/>
  <c r="J67" i="3"/>
  <c r="N66" i="3"/>
  <c r="O66" i="3" s="1"/>
  <c r="J66" i="3"/>
  <c r="N65" i="3"/>
  <c r="O65" i="3" s="1"/>
  <c r="J65" i="3"/>
  <c r="N64" i="3"/>
  <c r="O64" i="3" s="1"/>
  <c r="J64" i="3"/>
  <c r="O63" i="3"/>
  <c r="N63" i="3"/>
  <c r="J63" i="3"/>
  <c r="O62" i="3"/>
  <c r="N62" i="3"/>
  <c r="J62" i="3"/>
  <c r="O61" i="3"/>
  <c r="N61" i="3"/>
  <c r="J61" i="3"/>
  <c r="N60" i="3"/>
  <c r="O60" i="3" s="1"/>
  <c r="J60" i="3"/>
  <c r="O59" i="3"/>
  <c r="N59" i="3"/>
  <c r="J59" i="3"/>
  <c r="N58" i="3"/>
  <c r="O58" i="3" s="1"/>
  <c r="J58" i="3"/>
  <c r="N57" i="3"/>
  <c r="O57" i="3" s="1"/>
  <c r="J57" i="3"/>
  <c r="N56" i="3"/>
  <c r="O56" i="3" s="1"/>
  <c r="J56" i="3"/>
  <c r="O55" i="3"/>
  <c r="N55" i="3"/>
  <c r="J55" i="3"/>
  <c r="O54" i="3"/>
  <c r="N54" i="3"/>
  <c r="J54" i="3"/>
  <c r="O53" i="3"/>
  <c r="N53" i="3"/>
  <c r="J53" i="3"/>
  <c r="N52" i="3"/>
  <c r="O52" i="3" s="1"/>
  <c r="J52" i="3"/>
  <c r="O51" i="3"/>
  <c r="N51" i="3"/>
  <c r="J51" i="3"/>
  <c r="N50" i="3"/>
  <c r="O50" i="3" s="1"/>
  <c r="J50" i="3"/>
  <c r="N49" i="3"/>
  <c r="O49" i="3" s="1"/>
  <c r="J49" i="3"/>
  <c r="N48" i="3"/>
  <c r="O48" i="3" s="1"/>
  <c r="J48" i="3"/>
  <c r="O47" i="3"/>
  <c r="N47" i="3"/>
  <c r="J47" i="3"/>
  <c r="O46" i="3"/>
  <c r="N46" i="3"/>
  <c r="J46" i="3"/>
  <c r="O45" i="3"/>
  <c r="N45" i="3"/>
  <c r="J45" i="3"/>
  <c r="N44" i="3"/>
  <c r="O44" i="3" s="1"/>
  <c r="J44" i="3"/>
  <c r="O43" i="3"/>
  <c r="N43" i="3"/>
  <c r="J43" i="3"/>
  <c r="N42" i="3"/>
  <c r="O42" i="3" s="1"/>
  <c r="J42" i="3"/>
  <c r="N41" i="3"/>
  <c r="O41" i="3" s="1"/>
  <c r="J41" i="3"/>
  <c r="N40" i="3"/>
  <c r="O40" i="3" s="1"/>
  <c r="J40" i="3"/>
  <c r="O39" i="3"/>
  <c r="N39" i="3"/>
  <c r="J39" i="3"/>
  <c r="O38" i="3"/>
  <c r="N38" i="3"/>
  <c r="J38" i="3"/>
  <c r="O37" i="3"/>
  <c r="N37" i="3"/>
  <c r="J37" i="3"/>
  <c r="N36" i="3"/>
  <c r="O36" i="3" s="1"/>
  <c r="J36" i="3"/>
  <c r="O35" i="3"/>
  <c r="N35" i="3"/>
  <c r="J35" i="3"/>
  <c r="N34" i="3"/>
  <c r="O34" i="3" s="1"/>
  <c r="J34" i="3"/>
  <c r="N33" i="3"/>
  <c r="O33" i="3" s="1"/>
  <c r="J33" i="3"/>
  <c r="N32" i="3"/>
  <c r="O32" i="3" s="1"/>
  <c r="J32" i="3"/>
  <c r="O31" i="3"/>
  <c r="N31" i="3"/>
  <c r="J31" i="3"/>
  <c r="N30" i="3"/>
  <c r="O30" i="3" s="1"/>
  <c r="J30" i="3"/>
  <c r="O29" i="3"/>
  <c r="N29" i="3"/>
  <c r="J29" i="3"/>
  <c r="N28" i="3"/>
  <c r="O28" i="3" s="1"/>
  <c r="J28" i="3"/>
  <c r="O27" i="3"/>
  <c r="N27" i="3"/>
  <c r="J27" i="3"/>
  <c r="N26" i="3"/>
  <c r="O26" i="3" s="1"/>
  <c r="J26" i="3"/>
  <c r="N25" i="3"/>
  <c r="O25" i="3" s="1"/>
  <c r="J25" i="3"/>
  <c r="N24" i="3"/>
  <c r="O24" i="3" s="1"/>
  <c r="J24" i="3"/>
  <c r="O23" i="3"/>
  <c r="N23" i="3"/>
  <c r="J23" i="3"/>
  <c r="N22" i="3"/>
  <c r="O22" i="3" s="1"/>
  <c r="J22" i="3"/>
  <c r="O21" i="3"/>
  <c r="N21" i="3"/>
  <c r="J21" i="3"/>
  <c r="N20" i="3"/>
  <c r="O20" i="3" s="1"/>
  <c r="J20" i="3"/>
  <c r="O19" i="3"/>
  <c r="N19" i="3"/>
  <c r="J19" i="3"/>
  <c r="N18" i="3"/>
  <c r="O18" i="3" s="1"/>
  <c r="J18" i="3"/>
  <c r="N17" i="3"/>
  <c r="O17" i="3" s="1"/>
  <c r="J17" i="3"/>
  <c r="N16" i="3"/>
  <c r="O16" i="3" s="1"/>
  <c r="J16" i="3"/>
  <c r="O15" i="3"/>
  <c r="N15" i="3"/>
  <c r="J15" i="3"/>
  <c r="N14" i="3"/>
  <c r="O14" i="3" s="1"/>
  <c r="J14" i="3"/>
  <c r="O13" i="3"/>
  <c r="N13" i="3"/>
  <c r="J13" i="3"/>
  <c r="N12" i="3"/>
  <c r="O12" i="3" s="1"/>
  <c r="J12" i="3"/>
  <c r="O11" i="3"/>
  <c r="N11" i="3"/>
  <c r="J11" i="3"/>
  <c r="N10" i="3"/>
  <c r="O10" i="3" s="1"/>
  <c r="J10" i="3"/>
  <c r="N9" i="3"/>
  <c r="O9" i="3" s="1"/>
  <c r="J9" i="3"/>
  <c r="N8" i="3"/>
  <c r="O8" i="3" s="1"/>
  <c r="J8" i="3"/>
  <c r="O7" i="3"/>
  <c r="N7" i="3"/>
  <c r="J7" i="3"/>
  <c r="N6" i="3"/>
  <c r="O6" i="3" s="1"/>
  <c r="J6" i="3"/>
  <c r="O5" i="3"/>
  <c r="N5" i="3"/>
  <c r="J5" i="3"/>
  <c r="N4" i="3"/>
  <c r="O4" i="3" s="1"/>
  <c r="J4" i="3"/>
  <c r="O3" i="3"/>
  <c r="N3" i="3"/>
  <c r="J3" i="3"/>
  <c r="N2" i="3"/>
  <c r="O2" i="3" s="1"/>
  <c r="J2" i="3"/>
  <c r="D949" i="2"/>
  <c r="C949" i="2"/>
  <c r="D948" i="2"/>
  <c r="C948" i="2"/>
  <c r="D947" i="2"/>
  <c r="C947" i="2"/>
  <c r="D946" i="2"/>
  <c r="C946" i="2"/>
  <c r="D945" i="2"/>
  <c r="C945" i="2"/>
  <c r="D944" i="2"/>
  <c r="C944" i="2"/>
  <c r="D943" i="2"/>
  <c r="C943" i="2"/>
  <c r="D942" i="2"/>
  <c r="C942" i="2"/>
  <c r="D941" i="2"/>
  <c r="C941" i="2"/>
  <c r="D940" i="2"/>
  <c r="C940" i="2"/>
  <c r="D939" i="2"/>
  <c r="C939" i="2"/>
  <c r="D938" i="2"/>
  <c r="C938" i="2"/>
  <c r="D937" i="2"/>
  <c r="C937" i="2"/>
  <c r="D936" i="2"/>
  <c r="C936" i="2"/>
  <c r="D935" i="2"/>
  <c r="C935" i="2"/>
  <c r="D934" i="2"/>
  <c r="C934" i="2"/>
  <c r="D933" i="2"/>
  <c r="C933" i="2"/>
  <c r="D932" i="2"/>
  <c r="C932" i="2"/>
  <c r="D931" i="2"/>
  <c r="C931" i="2"/>
  <c r="D930" i="2"/>
  <c r="C930" i="2"/>
  <c r="D929" i="2"/>
  <c r="C929" i="2"/>
  <c r="D928" i="2"/>
  <c r="C928" i="2"/>
  <c r="D927" i="2"/>
  <c r="C927" i="2"/>
  <c r="D926" i="2"/>
  <c r="C926" i="2"/>
  <c r="D925" i="2"/>
  <c r="C925" i="2"/>
  <c r="D924" i="2"/>
  <c r="C924" i="2"/>
  <c r="D923" i="2"/>
  <c r="C923" i="2"/>
  <c r="D922" i="2"/>
  <c r="C922" i="2"/>
  <c r="D921" i="2"/>
  <c r="C921" i="2"/>
  <c r="D920" i="2"/>
  <c r="C920" i="2"/>
  <c r="D919" i="2"/>
  <c r="C919" i="2"/>
  <c r="D918" i="2"/>
  <c r="C918" i="2"/>
  <c r="D917" i="2"/>
  <c r="C917" i="2"/>
  <c r="D916" i="2"/>
  <c r="C916" i="2"/>
  <c r="D915" i="2"/>
  <c r="C915" i="2"/>
  <c r="D914" i="2"/>
  <c r="C914" i="2"/>
  <c r="D913" i="2"/>
  <c r="C913" i="2"/>
  <c r="D912" i="2"/>
  <c r="C912" i="2"/>
  <c r="D911" i="2"/>
  <c r="C911" i="2"/>
  <c r="D910" i="2"/>
  <c r="C910" i="2"/>
  <c r="D909" i="2"/>
  <c r="C909" i="2"/>
  <c r="D908" i="2"/>
  <c r="C908" i="2"/>
  <c r="D907" i="2"/>
  <c r="C907" i="2"/>
  <c r="D906" i="2"/>
  <c r="C906" i="2"/>
  <c r="D905" i="2"/>
  <c r="C905" i="2"/>
  <c r="D904" i="2"/>
  <c r="C904" i="2"/>
  <c r="D903" i="2"/>
  <c r="C903" i="2"/>
  <c r="D902" i="2"/>
  <c r="C902" i="2"/>
  <c r="D901" i="2"/>
  <c r="C901" i="2"/>
  <c r="D900" i="2"/>
  <c r="C900" i="2"/>
  <c r="D899" i="2"/>
  <c r="C899" i="2"/>
  <c r="D898" i="2"/>
  <c r="C898" i="2"/>
  <c r="D897" i="2"/>
  <c r="C897" i="2"/>
  <c r="D896" i="2"/>
  <c r="C896" i="2"/>
  <c r="D895" i="2"/>
  <c r="C895" i="2"/>
  <c r="D894" i="2"/>
  <c r="C894" i="2"/>
  <c r="D893" i="2"/>
  <c r="C893" i="2"/>
  <c r="D892" i="2"/>
  <c r="C892" i="2"/>
  <c r="D891" i="2"/>
  <c r="C891" i="2"/>
  <c r="D890" i="2"/>
  <c r="C890" i="2"/>
  <c r="D889" i="2"/>
  <c r="C889" i="2"/>
  <c r="D888" i="2"/>
  <c r="C888" i="2"/>
  <c r="D887" i="2"/>
  <c r="C887" i="2"/>
  <c r="D886" i="2"/>
  <c r="C886" i="2"/>
  <c r="D885" i="2"/>
  <c r="C885" i="2"/>
  <c r="D884" i="2"/>
  <c r="C884" i="2"/>
  <c r="D883" i="2"/>
  <c r="C883" i="2"/>
  <c r="D882" i="2"/>
  <c r="C882" i="2"/>
  <c r="D881" i="2"/>
  <c r="C881" i="2"/>
  <c r="D880" i="2"/>
  <c r="C880" i="2"/>
  <c r="D879" i="2"/>
  <c r="C879" i="2"/>
  <c r="D878" i="2"/>
  <c r="C878" i="2"/>
  <c r="D877" i="2"/>
  <c r="C877" i="2"/>
  <c r="D876" i="2"/>
  <c r="C876" i="2"/>
  <c r="D875" i="2"/>
  <c r="C875" i="2"/>
  <c r="D874" i="2"/>
  <c r="C874" i="2"/>
  <c r="D873" i="2"/>
  <c r="C873" i="2"/>
  <c r="D872" i="2"/>
  <c r="C872" i="2"/>
  <c r="D871" i="2"/>
  <c r="C871" i="2"/>
  <c r="D870" i="2"/>
  <c r="C870" i="2"/>
  <c r="D869" i="2"/>
  <c r="C869" i="2"/>
  <c r="D868" i="2"/>
  <c r="C868" i="2"/>
  <c r="D867" i="2"/>
  <c r="C867" i="2"/>
  <c r="D866" i="2"/>
  <c r="C866" i="2"/>
  <c r="D865" i="2"/>
  <c r="C865" i="2"/>
  <c r="D864" i="2"/>
  <c r="C864" i="2"/>
  <c r="D863" i="2"/>
  <c r="C863" i="2"/>
  <c r="D862" i="2"/>
  <c r="C862" i="2"/>
  <c r="D861" i="2"/>
  <c r="C861" i="2"/>
  <c r="D860" i="2"/>
  <c r="C860" i="2"/>
  <c r="D859" i="2"/>
  <c r="C859" i="2"/>
  <c r="D858" i="2"/>
  <c r="C858" i="2"/>
  <c r="D857" i="2"/>
  <c r="C857" i="2"/>
  <c r="D856" i="2"/>
  <c r="C856" i="2"/>
  <c r="D855" i="2"/>
  <c r="C855" i="2"/>
  <c r="D854" i="2"/>
  <c r="C854" i="2"/>
  <c r="D853" i="2"/>
  <c r="C853" i="2"/>
  <c r="D852" i="2"/>
  <c r="C852" i="2"/>
  <c r="D851" i="2"/>
  <c r="C851" i="2"/>
  <c r="D850" i="2"/>
  <c r="C850" i="2"/>
  <c r="D849" i="2"/>
  <c r="C849" i="2"/>
  <c r="D848" i="2"/>
  <c r="C848" i="2"/>
  <c r="D847" i="2"/>
  <c r="C847" i="2"/>
  <c r="D846" i="2"/>
  <c r="C846" i="2"/>
  <c r="D845" i="2"/>
  <c r="C845" i="2"/>
  <c r="D844" i="2"/>
  <c r="C844" i="2"/>
  <c r="D843" i="2"/>
  <c r="C843" i="2"/>
  <c r="D842" i="2"/>
  <c r="C842" i="2"/>
  <c r="D841" i="2"/>
  <c r="C841" i="2"/>
  <c r="D840" i="2"/>
  <c r="C840" i="2"/>
  <c r="D839" i="2"/>
  <c r="C839" i="2"/>
  <c r="D838" i="2"/>
  <c r="C838" i="2"/>
  <c r="D837" i="2"/>
  <c r="C837" i="2"/>
  <c r="D836" i="2"/>
  <c r="C836" i="2"/>
  <c r="D835" i="2"/>
  <c r="C835" i="2"/>
  <c r="D834" i="2"/>
  <c r="C834" i="2"/>
  <c r="D833" i="2"/>
  <c r="C833" i="2"/>
  <c r="D832" i="2"/>
  <c r="C832" i="2"/>
  <c r="D831" i="2"/>
  <c r="C831" i="2"/>
  <c r="D830" i="2"/>
  <c r="C830" i="2"/>
  <c r="D829" i="2"/>
  <c r="C829" i="2"/>
  <c r="D828" i="2"/>
  <c r="C828" i="2"/>
  <c r="D827" i="2"/>
  <c r="C827" i="2"/>
  <c r="D826" i="2"/>
  <c r="C826" i="2"/>
  <c r="D825" i="2"/>
  <c r="C825" i="2"/>
  <c r="D824" i="2"/>
  <c r="C824" i="2"/>
  <c r="D823" i="2"/>
  <c r="C823" i="2"/>
  <c r="D822" i="2"/>
  <c r="C822" i="2"/>
  <c r="D821" i="2"/>
  <c r="C821" i="2"/>
  <c r="D820" i="2"/>
  <c r="C820" i="2"/>
  <c r="D819" i="2"/>
  <c r="C819" i="2"/>
  <c r="D818" i="2"/>
  <c r="C818" i="2"/>
  <c r="D817" i="2"/>
  <c r="C817" i="2"/>
  <c r="D816" i="2"/>
  <c r="C816" i="2"/>
  <c r="D815" i="2"/>
  <c r="C815" i="2"/>
  <c r="D814" i="2"/>
  <c r="C814" i="2"/>
  <c r="D813" i="2"/>
  <c r="C813" i="2"/>
  <c r="D812" i="2"/>
  <c r="C812" i="2"/>
  <c r="D811" i="2"/>
  <c r="C811" i="2"/>
  <c r="D810" i="2"/>
  <c r="C810" i="2"/>
  <c r="D809" i="2"/>
  <c r="C809" i="2"/>
  <c r="D808" i="2"/>
  <c r="C808" i="2"/>
  <c r="D807" i="2"/>
  <c r="C807" i="2"/>
  <c r="D806" i="2"/>
  <c r="C806" i="2"/>
  <c r="D805" i="2"/>
  <c r="C805" i="2"/>
  <c r="D804" i="2"/>
  <c r="C804" i="2"/>
  <c r="D803" i="2"/>
  <c r="C803" i="2"/>
  <c r="D802" i="2"/>
  <c r="C802" i="2"/>
  <c r="D801" i="2"/>
  <c r="C801" i="2"/>
  <c r="D800" i="2"/>
  <c r="C800" i="2"/>
  <c r="D799" i="2"/>
  <c r="C799" i="2"/>
  <c r="D798" i="2"/>
  <c r="C798" i="2"/>
  <c r="D797" i="2"/>
  <c r="C797" i="2"/>
  <c r="D796" i="2"/>
  <c r="C796" i="2"/>
  <c r="D795" i="2"/>
  <c r="C795" i="2"/>
  <c r="D794" i="2"/>
  <c r="C794" i="2"/>
  <c r="D793" i="2"/>
  <c r="C793" i="2"/>
  <c r="D792" i="2"/>
  <c r="C792" i="2"/>
  <c r="D791" i="2"/>
  <c r="C791" i="2"/>
  <c r="D790" i="2"/>
  <c r="C790" i="2"/>
  <c r="D789" i="2"/>
  <c r="C789" i="2"/>
  <c r="D788" i="2"/>
  <c r="C788" i="2"/>
  <c r="D787" i="2"/>
  <c r="C787" i="2"/>
  <c r="D786" i="2"/>
  <c r="C786" i="2"/>
  <c r="D785" i="2"/>
  <c r="C785" i="2"/>
  <c r="D784" i="2"/>
  <c r="C784" i="2"/>
  <c r="D783" i="2"/>
  <c r="C783" i="2"/>
  <c r="D782" i="2"/>
  <c r="C782" i="2"/>
  <c r="D781" i="2"/>
  <c r="C781" i="2"/>
  <c r="D780" i="2"/>
  <c r="C780" i="2"/>
  <c r="D779" i="2"/>
  <c r="C779" i="2"/>
  <c r="D778" i="2"/>
  <c r="C778" i="2"/>
  <c r="D777" i="2"/>
  <c r="C777" i="2"/>
  <c r="D776" i="2"/>
  <c r="C776" i="2"/>
  <c r="D775" i="2"/>
  <c r="C775" i="2"/>
  <c r="D774" i="2"/>
  <c r="C774" i="2"/>
  <c r="D773" i="2"/>
  <c r="C773" i="2"/>
  <c r="D772" i="2"/>
  <c r="C772" i="2"/>
  <c r="D771" i="2"/>
  <c r="C771" i="2"/>
  <c r="D770" i="2"/>
  <c r="C770" i="2"/>
  <c r="D769" i="2"/>
  <c r="C769" i="2"/>
  <c r="D768" i="2"/>
  <c r="C768" i="2"/>
  <c r="D767" i="2"/>
  <c r="C767" i="2"/>
  <c r="D766" i="2"/>
  <c r="C766" i="2"/>
  <c r="D765" i="2"/>
  <c r="C765" i="2"/>
  <c r="D764" i="2"/>
  <c r="C764" i="2"/>
  <c r="D763" i="2"/>
  <c r="C763" i="2"/>
  <c r="D762" i="2"/>
  <c r="C762" i="2"/>
  <c r="D761" i="2"/>
  <c r="C761" i="2"/>
  <c r="D760" i="2"/>
  <c r="C760" i="2"/>
  <c r="D759" i="2"/>
  <c r="C759" i="2"/>
  <c r="D758" i="2"/>
  <c r="C758" i="2"/>
  <c r="D757" i="2"/>
  <c r="C757" i="2"/>
  <c r="D756" i="2"/>
  <c r="C756" i="2"/>
  <c r="D755" i="2"/>
  <c r="C755" i="2"/>
  <c r="D754" i="2"/>
  <c r="C754" i="2"/>
  <c r="D753" i="2"/>
  <c r="C753" i="2"/>
  <c r="D752" i="2"/>
  <c r="C752" i="2"/>
  <c r="D751" i="2"/>
  <c r="C751" i="2"/>
  <c r="D750" i="2"/>
  <c r="C750" i="2"/>
  <c r="D749" i="2"/>
  <c r="C749" i="2"/>
  <c r="D748" i="2"/>
  <c r="C748" i="2"/>
  <c r="D747" i="2"/>
  <c r="C747" i="2"/>
  <c r="D746" i="2"/>
  <c r="C746" i="2"/>
  <c r="D745" i="2"/>
  <c r="C745" i="2"/>
  <c r="D744" i="2"/>
  <c r="C744" i="2"/>
  <c r="D743" i="2"/>
  <c r="C743" i="2"/>
  <c r="D742" i="2"/>
  <c r="C742" i="2"/>
  <c r="D741" i="2"/>
  <c r="C741" i="2"/>
  <c r="D740" i="2"/>
  <c r="C740" i="2"/>
  <c r="D739" i="2"/>
  <c r="C739" i="2"/>
  <c r="D738" i="2"/>
  <c r="C738" i="2"/>
  <c r="D737" i="2"/>
  <c r="C737" i="2"/>
  <c r="D736" i="2"/>
  <c r="C736" i="2"/>
  <c r="D735" i="2"/>
  <c r="C735" i="2"/>
  <c r="D734" i="2"/>
  <c r="C734" i="2"/>
  <c r="D733" i="2"/>
  <c r="C733" i="2"/>
  <c r="D732" i="2"/>
  <c r="C732" i="2"/>
  <c r="D731" i="2"/>
  <c r="C731" i="2"/>
  <c r="D730" i="2"/>
  <c r="C730" i="2"/>
  <c r="D729" i="2"/>
  <c r="C729" i="2"/>
  <c r="D728" i="2"/>
  <c r="C728" i="2"/>
  <c r="D727" i="2"/>
  <c r="C727" i="2"/>
  <c r="D726" i="2"/>
  <c r="C726" i="2"/>
  <c r="D725" i="2"/>
  <c r="C725" i="2"/>
  <c r="D724" i="2"/>
  <c r="C724" i="2"/>
  <c r="D723" i="2"/>
  <c r="C723" i="2"/>
  <c r="D722" i="2"/>
  <c r="C722" i="2"/>
  <c r="D721" i="2"/>
  <c r="C721" i="2"/>
  <c r="D720" i="2"/>
  <c r="C720" i="2"/>
  <c r="D719" i="2"/>
  <c r="C719" i="2"/>
  <c r="D718" i="2"/>
  <c r="C718" i="2"/>
  <c r="D717" i="2"/>
  <c r="C717" i="2"/>
  <c r="D716" i="2"/>
  <c r="C716" i="2"/>
  <c r="D715" i="2"/>
  <c r="C715" i="2"/>
  <c r="D714" i="2"/>
  <c r="C714" i="2"/>
  <c r="D713" i="2"/>
  <c r="C713" i="2"/>
  <c r="D712" i="2"/>
  <c r="C712" i="2"/>
  <c r="D711" i="2"/>
  <c r="C711" i="2"/>
  <c r="D710" i="2"/>
  <c r="C710" i="2"/>
  <c r="D709" i="2"/>
  <c r="C709" i="2"/>
  <c r="D708" i="2"/>
  <c r="C708" i="2"/>
  <c r="D707" i="2"/>
  <c r="C707" i="2"/>
  <c r="D706" i="2"/>
  <c r="C706" i="2"/>
  <c r="D705" i="2"/>
  <c r="C705" i="2"/>
  <c r="D704" i="2"/>
  <c r="C704" i="2"/>
  <c r="D703" i="2"/>
  <c r="C703" i="2"/>
  <c r="D702" i="2"/>
  <c r="C702" i="2"/>
  <c r="D701" i="2"/>
  <c r="C701" i="2"/>
  <c r="D700" i="2"/>
  <c r="C700" i="2"/>
  <c r="D699" i="2"/>
  <c r="C699" i="2"/>
  <c r="D698" i="2"/>
  <c r="C698" i="2"/>
  <c r="D697" i="2"/>
  <c r="C697" i="2"/>
  <c r="D696" i="2"/>
  <c r="C696" i="2"/>
  <c r="D695" i="2"/>
  <c r="C695" i="2"/>
  <c r="D694" i="2"/>
  <c r="C694" i="2"/>
  <c r="D693" i="2"/>
  <c r="C693" i="2"/>
  <c r="D692" i="2"/>
  <c r="C692" i="2"/>
  <c r="D691" i="2"/>
  <c r="C691" i="2"/>
  <c r="D690" i="2"/>
  <c r="C690" i="2"/>
  <c r="D689" i="2"/>
  <c r="C689" i="2"/>
  <c r="D688" i="2"/>
  <c r="C688" i="2"/>
  <c r="D687" i="2"/>
  <c r="C687" i="2"/>
  <c r="D686" i="2"/>
  <c r="C686" i="2"/>
  <c r="D685" i="2"/>
  <c r="C685" i="2"/>
  <c r="D684" i="2"/>
  <c r="C684" i="2"/>
  <c r="D683" i="2"/>
  <c r="C683" i="2"/>
  <c r="D682" i="2"/>
  <c r="C682" i="2"/>
  <c r="D681" i="2"/>
  <c r="C681" i="2"/>
  <c r="D680" i="2"/>
  <c r="C680" i="2"/>
  <c r="D679" i="2"/>
  <c r="C679" i="2"/>
  <c r="D678" i="2"/>
  <c r="C678" i="2"/>
  <c r="D677" i="2"/>
  <c r="C677" i="2"/>
  <c r="D676" i="2"/>
  <c r="C676" i="2"/>
  <c r="D675" i="2"/>
  <c r="C675" i="2"/>
  <c r="D674" i="2"/>
  <c r="C674" i="2"/>
  <c r="D673" i="2"/>
  <c r="C673" i="2"/>
  <c r="D672" i="2"/>
  <c r="C672" i="2"/>
  <c r="D671" i="2"/>
  <c r="C671" i="2"/>
  <c r="D670" i="2"/>
  <c r="C670" i="2"/>
  <c r="D669" i="2"/>
  <c r="C669" i="2"/>
  <c r="D668" i="2"/>
  <c r="C668" i="2"/>
  <c r="D667" i="2"/>
  <c r="C667" i="2"/>
  <c r="D666" i="2"/>
  <c r="C666" i="2"/>
  <c r="D665" i="2"/>
  <c r="C665" i="2"/>
  <c r="D664" i="2"/>
  <c r="C664" i="2"/>
  <c r="D663" i="2"/>
  <c r="C663" i="2"/>
  <c r="D662" i="2"/>
  <c r="C662" i="2"/>
  <c r="D661" i="2"/>
  <c r="C661" i="2"/>
  <c r="D660" i="2"/>
  <c r="C660" i="2"/>
  <c r="D659" i="2"/>
  <c r="C659" i="2"/>
  <c r="D658" i="2"/>
  <c r="C658" i="2"/>
  <c r="D657" i="2"/>
  <c r="C657" i="2"/>
  <c r="D656" i="2"/>
  <c r="C656" i="2"/>
  <c r="D655" i="2"/>
  <c r="C655" i="2"/>
  <c r="D654" i="2"/>
  <c r="C654" i="2"/>
  <c r="D653" i="2"/>
  <c r="C653" i="2"/>
  <c r="D652" i="2"/>
  <c r="C652" i="2"/>
  <c r="D651" i="2"/>
  <c r="C651" i="2"/>
  <c r="D650" i="2"/>
  <c r="C650" i="2"/>
  <c r="D649" i="2"/>
  <c r="C649" i="2"/>
  <c r="D648" i="2"/>
  <c r="C648" i="2"/>
  <c r="D647" i="2"/>
  <c r="C647" i="2"/>
  <c r="D646" i="2"/>
  <c r="C646" i="2"/>
  <c r="D645" i="2"/>
  <c r="C645" i="2"/>
  <c r="D644" i="2"/>
  <c r="C644" i="2"/>
  <c r="D643" i="2"/>
  <c r="C643" i="2"/>
  <c r="D642" i="2"/>
  <c r="C642" i="2"/>
  <c r="D641" i="2"/>
  <c r="C641" i="2"/>
  <c r="D640" i="2"/>
  <c r="C640" i="2"/>
  <c r="D639" i="2"/>
  <c r="C639" i="2"/>
  <c r="D638" i="2"/>
  <c r="C638" i="2"/>
  <c r="D637" i="2"/>
  <c r="C637" i="2"/>
  <c r="D636" i="2"/>
  <c r="C636" i="2"/>
  <c r="D635" i="2"/>
  <c r="C635" i="2"/>
  <c r="D634" i="2"/>
  <c r="C634" i="2"/>
  <c r="D633" i="2"/>
  <c r="C633" i="2"/>
  <c r="D632" i="2"/>
  <c r="C632" i="2"/>
  <c r="D631" i="2"/>
  <c r="C631" i="2"/>
  <c r="D630" i="2"/>
  <c r="C630" i="2"/>
  <c r="D629" i="2"/>
  <c r="C629" i="2"/>
  <c r="D628" i="2"/>
  <c r="C628" i="2"/>
  <c r="D627" i="2"/>
  <c r="C627" i="2"/>
  <c r="D626" i="2"/>
  <c r="C626" i="2"/>
  <c r="D625" i="2"/>
  <c r="C625" i="2"/>
  <c r="D624" i="2"/>
  <c r="C624" i="2"/>
  <c r="D623" i="2"/>
  <c r="C623" i="2"/>
  <c r="D622" i="2"/>
  <c r="C622" i="2"/>
  <c r="D621" i="2"/>
  <c r="C621" i="2"/>
  <c r="D620" i="2"/>
  <c r="C620" i="2"/>
  <c r="D619" i="2"/>
  <c r="C619" i="2"/>
  <c r="D618" i="2"/>
  <c r="C618" i="2"/>
  <c r="D617" i="2"/>
  <c r="C617" i="2"/>
  <c r="D616" i="2"/>
  <c r="C616" i="2"/>
  <c r="D615" i="2"/>
  <c r="C615" i="2"/>
  <c r="D614" i="2"/>
  <c r="C614" i="2"/>
  <c r="D613" i="2"/>
  <c r="C613" i="2"/>
  <c r="D612" i="2"/>
  <c r="C612" i="2"/>
  <c r="D611" i="2"/>
  <c r="C611" i="2"/>
  <c r="D610" i="2"/>
  <c r="C610" i="2"/>
  <c r="D609" i="2"/>
  <c r="C609" i="2"/>
  <c r="D608" i="2"/>
  <c r="C608" i="2"/>
  <c r="D607" i="2"/>
  <c r="C607" i="2"/>
  <c r="D606" i="2"/>
  <c r="C606" i="2"/>
  <c r="D605" i="2"/>
  <c r="C605" i="2"/>
  <c r="D604" i="2"/>
  <c r="C604" i="2"/>
  <c r="D603" i="2"/>
  <c r="C603" i="2"/>
  <c r="D602" i="2"/>
  <c r="C602" i="2"/>
  <c r="D601" i="2"/>
  <c r="C601" i="2"/>
  <c r="D600" i="2"/>
  <c r="C600" i="2"/>
  <c r="D599" i="2"/>
  <c r="C599" i="2"/>
  <c r="D598" i="2"/>
  <c r="C598" i="2"/>
  <c r="D597" i="2"/>
  <c r="C597" i="2"/>
  <c r="D596" i="2"/>
  <c r="C596" i="2"/>
  <c r="D595" i="2"/>
  <c r="C595" i="2"/>
  <c r="D594" i="2"/>
  <c r="C594" i="2"/>
  <c r="D593" i="2"/>
  <c r="C593" i="2"/>
  <c r="D592" i="2"/>
  <c r="C592" i="2"/>
  <c r="D591" i="2"/>
  <c r="C591" i="2"/>
  <c r="D590" i="2"/>
  <c r="C590" i="2"/>
  <c r="D589" i="2"/>
  <c r="C589" i="2"/>
  <c r="D588" i="2"/>
  <c r="C588" i="2"/>
  <c r="D587" i="2"/>
  <c r="C587" i="2"/>
  <c r="D586" i="2"/>
  <c r="C586" i="2"/>
  <c r="D585" i="2"/>
  <c r="C585" i="2"/>
  <c r="D584" i="2"/>
  <c r="C584" i="2"/>
  <c r="D583" i="2"/>
  <c r="C583" i="2"/>
  <c r="D582" i="2"/>
  <c r="C582" i="2"/>
  <c r="D581" i="2"/>
  <c r="C581" i="2"/>
  <c r="D580" i="2"/>
  <c r="C580" i="2"/>
  <c r="D579" i="2"/>
  <c r="C579" i="2"/>
  <c r="D578" i="2"/>
  <c r="C578" i="2"/>
  <c r="D577" i="2"/>
  <c r="C577" i="2"/>
  <c r="D576" i="2"/>
  <c r="C576" i="2"/>
  <c r="D575" i="2"/>
  <c r="C575" i="2"/>
  <c r="D574" i="2"/>
  <c r="C574" i="2"/>
  <c r="D573" i="2"/>
  <c r="C573" i="2"/>
  <c r="D572" i="2"/>
  <c r="C572" i="2"/>
  <c r="D571" i="2"/>
  <c r="C571" i="2"/>
  <c r="D570" i="2"/>
  <c r="C570" i="2"/>
  <c r="D569" i="2"/>
  <c r="C569" i="2"/>
  <c r="D568" i="2"/>
  <c r="C568" i="2"/>
  <c r="D567" i="2"/>
  <c r="C567" i="2"/>
  <c r="D566" i="2"/>
  <c r="C566" i="2"/>
  <c r="D565" i="2"/>
  <c r="C565" i="2"/>
  <c r="D564" i="2"/>
  <c r="C564" i="2"/>
  <c r="D563" i="2"/>
  <c r="C563" i="2"/>
  <c r="D562" i="2"/>
  <c r="C562" i="2"/>
  <c r="D561" i="2"/>
  <c r="C561" i="2"/>
  <c r="D560" i="2"/>
  <c r="C560" i="2"/>
  <c r="D559" i="2"/>
  <c r="C559" i="2"/>
  <c r="D558" i="2"/>
  <c r="C558" i="2"/>
  <c r="D557" i="2"/>
  <c r="C557" i="2"/>
  <c r="D556" i="2"/>
  <c r="C556" i="2"/>
  <c r="D555" i="2"/>
  <c r="C555" i="2"/>
  <c r="D554" i="2"/>
  <c r="C554" i="2"/>
  <c r="D553" i="2"/>
  <c r="C553" i="2"/>
  <c r="D552" i="2"/>
  <c r="C552" i="2"/>
  <c r="D551" i="2"/>
  <c r="C551" i="2"/>
  <c r="D550" i="2"/>
  <c r="C550" i="2"/>
  <c r="D549" i="2"/>
  <c r="C549" i="2"/>
  <c r="D548" i="2"/>
  <c r="C548" i="2"/>
  <c r="D547" i="2"/>
  <c r="C547" i="2"/>
  <c r="D546" i="2"/>
  <c r="C546" i="2"/>
  <c r="D545" i="2"/>
  <c r="C545" i="2"/>
  <c r="D544" i="2"/>
  <c r="C544" i="2"/>
  <c r="D543" i="2"/>
  <c r="C543" i="2"/>
  <c r="D542" i="2"/>
  <c r="C542" i="2"/>
  <c r="D541" i="2"/>
  <c r="C541" i="2"/>
  <c r="D540" i="2"/>
  <c r="C540" i="2"/>
  <c r="D539" i="2"/>
  <c r="C539" i="2"/>
  <c r="D538" i="2"/>
  <c r="C538" i="2"/>
  <c r="D537" i="2"/>
  <c r="C537" i="2"/>
  <c r="D536" i="2"/>
  <c r="C536" i="2"/>
  <c r="D535" i="2"/>
  <c r="C535" i="2"/>
  <c r="D534" i="2"/>
  <c r="C534" i="2"/>
  <c r="D533" i="2"/>
  <c r="C533" i="2"/>
  <c r="D532" i="2"/>
  <c r="C532" i="2"/>
  <c r="D531" i="2"/>
  <c r="C531" i="2"/>
  <c r="D530" i="2"/>
  <c r="C530" i="2"/>
  <c r="D529" i="2"/>
  <c r="C529" i="2"/>
  <c r="D528" i="2"/>
  <c r="C528" i="2"/>
  <c r="D527" i="2"/>
  <c r="C527" i="2"/>
  <c r="D526" i="2"/>
  <c r="C526" i="2"/>
  <c r="D525" i="2"/>
  <c r="C525" i="2"/>
  <c r="D524" i="2"/>
  <c r="C524" i="2"/>
  <c r="D523" i="2"/>
  <c r="C523" i="2"/>
  <c r="D522" i="2"/>
  <c r="C522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D513" i="2"/>
  <c r="C513" i="2"/>
  <c r="D512" i="2"/>
  <c r="C512" i="2"/>
  <c r="D511" i="2"/>
  <c r="C511" i="2"/>
  <c r="D510" i="2"/>
  <c r="C510" i="2"/>
  <c r="D509" i="2"/>
  <c r="C509" i="2"/>
  <c r="D508" i="2"/>
  <c r="C508" i="2"/>
  <c r="D507" i="2"/>
  <c r="C507" i="2"/>
  <c r="D506" i="2"/>
  <c r="C506" i="2"/>
  <c r="D505" i="2"/>
  <c r="C505" i="2"/>
  <c r="D504" i="2"/>
  <c r="C504" i="2"/>
  <c r="D503" i="2"/>
  <c r="C503" i="2"/>
  <c r="D502" i="2"/>
  <c r="C502" i="2"/>
  <c r="D501" i="2"/>
  <c r="C501" i="2"/>
  <c r="D500" i="2"/>
  <c r="C500" i="2"/>
  <c r="D499" i="2"/>
  <c r="C499" i="2"/>
  <c r="D498" i="2"/>
  <c r="C498" i="2"/>
  <c r="D497" i="2"/>
  <c r="C497" i="2"/>
  <c r="D496" i="2"/>
  <c r="C496" i="2"/>
  <c r="D495" i="2"/>
  <c r="C495" i="2"/>
  <c r="D494" i="2"/>
  <c r="C494" i="2"/>
  <c r="D493" i="2"/>
  <c r="C493" i="2"/>
  <c r="D492" i="2"/>
  <c r="C492" i="2"/>
  <c r="D491" i="2"/>
  <c r="C491" i="2"/>
  <c r="D490" i="2"/>
  <c r="C490" i="2"/>
  <c r="D489" i="2"/>
  <c r="C489" i="2"/>
  <c r="D488" i="2"/>
  <c r="C488" i="2"/>
  <c r="D487" i="2"/>
  <c r="C487" i="2"/>
  <c r="D486" i="2"/>
  <c r="C486" i="2"/>
  <c r="D485" i="2"/>
  <c r="C485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R3" i="3" l="1"/>
  <c r="R2" i="3"/>
  <c r="R4" i="3" l="1"/>
</calcChain>
</file>

<file path=xl/sharedStrings.xml><?xml version="1.0" encoding="utf-8"?>
<sst xmlns="http://schemas.openxmlformats.org/spreadsheetml/2006/main" count="5108" uniqueCount="391">
  <si>
    <t>Kode Barang</t>
  </si>
  <si>
    <t>Nama Barang</t>
  </si>
  <si>
    <t>Kode Kategori</t>
  </si>
  <si>
    <t>Kategori Barang</t>
  </si>
  <si>
    <t>RM001</t>
  </si>
  <si>
    <t>Gandum Hard Wheat</t>
  </si>
  <si>
    <t>RM</t>
  </si>
  <si>
    <t>Raw Material</t>
  </si>
  <si>
    <t>Bahan Baku</t>
  </si>
  <si>
    <t>RM002</t>
  </si>
  <si>
    <t>Gandum Soft Wheat</t>
  </si>
  <si>
    <t>AD</t>
  </si>
  <si>
    <t>Additive</t>
  </si>
  <si>
    <t>Bahan Tambahan</t>
  </si>
  <si>
    <t>RM003</t>
  </si>
  <si>
    <t>Gandum Durum</t>
  </si>
  <si>
    <t>PK</t>
  </si>
  <si>
    <t>Packaging</t>
  </si>
  <si>
    <t>Kemasan</t>
  </si>
  <si>
    <t>RM004</t>
  </si>
  <si>
    <t>Bran Gandum</t>
  </si>
  <si>
    <t>FG</t>
  </si>
  <si>
    <t>Finished Goods</t>
  </si>
  <si>
    <t>Produk</t>
  </si>
  <si>
    <t>RM005</t>
  </si>
  <si>
    <t>Germ Gandum</t>
  </si>
  <si>
    <t>AD001</t>
  </si>
  <si>
    <t>Enzim Baking</t>
  </si>
  <si>
    <t>Nama Ekspedisi</t>
  </si>
  <si>
    <t>Kode Ekspedisi</t>
  </si>
  <si>
    <t>AD002</t>
  </si>
  <si>
    <t>Vitamin Fortifikasi</t>
  </si>
  <si>
    <t>J&amp;T</t>
  </si>
  <si>
    <t>JT</t>
  </si>
  <si>
    <t>AD003</t>
  </si>
  <si>
    <t>Tepung Premix</t>
  </si>
  <si>
    <t>Pos Indonesia</t>
  </si>
  <si>
    <t>PI</t>
  </si>
  <si>
    <t>AD004</t>
  </si>
  <si>
    <t>Improver Tepung</t>
  </si>
  <si>
    <t>SiCepat</t>
  </si>
  <si>
    <t>SC</t>
  </si>
  <si>
    <t>AD005</t>
  </si>
  <si>
    <t>Calcium Propionate</t>
  </si>
  <si>
    <t>TIKI</t>
  </si>
  <si>
    <t>TI</t>
  </si>
  <si>
    <t>PK001</t>
  </si>
  <si>
    <t>Karung Kemasan 25 Kg</t>
  </si>
  <si>
    <t>JNE</t>
  </si>
  <si>
    <t>JN</t>
  </si>
  <si>
    <t>PK002</t>
  </si>
  <si>
    <t>Plastik Kemasan 1 Kg</t>
  </si>
  <si>
    <t>PK003</t>
  </si>
  <si>
    <t>Plastik Kemasan 500 gr</t>
  </si>
  <si>
    <t>PK004</t>
  </si>
  <si>
    <t>Karton Box</t>
  </si>
  <si>
    <t>PK005</t>
  </si>
  <si>
    <t>Label Produk</t>
  </si>
  <si>
    <t>PK006</t>
  </si>
  <si>
    <t>Pallet Kayu</t>
  </si>
  <si>
    <t>FG001</t>
  </si>
  <si>
    <t>Tepung Terigu Protein Tinggi</t>
  </si>
  <si>
    <t>FG002</t>
  </si>
  <si>
    <t>Tepung Terigu Serbaguna</t>
  </si>
  <si>
    <t>FG003</t>
  </si>
  <si>
    <t>Tepung Terigu Protein Rendah</t>
  </si>
  <si>
    <t>FG004</t>
  </si>
  <si>
    <t>Tepung Terigu Khusus Roti</t>
  </si>
  <si>
    <t>FG005</t>
  </si>
  <si>
    <t>Tepung Terigu Khusus Kue</t>
  </si>
  <si>
    <t>Tanggal</t>
  </si>
  <si>
    <t>Kategori</t>
  </si>
  <si>
    <t>Supllier</t>
  </si>
  <si>
    <t>Barang Masuk</t>
  </si>
  <si>
    <t>Barang Keluar</t>
  </si>
  <si>
    <t>Stok Awal</t>
  </si>
  <si>
    <t>Stok Akhir</t>
  </si>
  <si>
    <t>Satuan</t>
  </si>
  <si>
    <t>Keterangan</t>
  </si>
  <si>
    <t>PT Agro Makmur</t>
  </si>
  <si>
    <t>Pcs</t>
  </si>
  <si>
    <t>Hasil Produksi</t>
  </si>
  <si>
    <t>PT Pangan Jaya</t>
  </si>
  <si>
    <t>PT Baker Indonesia</t>
  </si>
  <si>
    <t>PT Kemasan Jaya</t>
  </si>
  <si>
    <t>Restock Kemasan</t>
  </si>
  <si>
    <t>PT Plastik Nusantara</t>
  </si>
  <si>
    <t>Kg</t>
  </si>
  <si>
    <t>Restock Bahan Baku</t>
  </si>
  <si>
    <t>PT Sumber Pangan</t>
  </si>
  <si>
    <t>Distribusi ke Customer</t>
  </si>
  <si>
    <t>PT Mega Flour</t>
  </si>
  <si>
    <t>PT Plastik Sejahtera</t>
  </si>
  <si>
    <t>Digunakan Packaging</t>
  </si>
  <si>
    <t>PT Pallet Nusantara</t>
  </si>
  <si>
    <t>PT Nutri Pangan</t>
  </si>
  <si>
    <t>Restock Bahan Tambahan</t>
  </si>
  <si>
    <t>PT Karton Indonesia</t>
  </si>
  <si>
    <t>PT Pangan Nusantara</t>
  </si>
  <si>
    <t>PT Plastik Indo</t>
  </si>
  <si>
    <t>PT Bio Enzim Nusantara</t>
  </si>
  <si>
    <t>PT Nutri Indo</t>
  </si>
  <si>
    <t>PT Distributor A</t>
  </si>
  <si>
    <t>PT Labelindo</t>
  </si>
  <si>
    <t>Digunakan Produksi</t>
  </si>
  <si>
    <t>PT Kayu Abadi</t>
  </si>
  <si>
    <t>PT Food Additive Indonesia</t>
  </si>
  <si>
    <t>PT Indo Additive</t>
  </si>
  <si>
    <t>PT Distributor B</t>
  </si>
  <si>
    <t>PT Karton Nusantara</t>
  </si>
  <si>
    <t>Restock bahan baku</t>
  </si>
  <si>
    <t>PT Food Ingredient</t>
  </si>
  <si>
    <t>PT Bio Enzim</t>
  </si>
  <si>
    <t>PT Distributor C</t>
  </si>
  <si>
    <t>PT Karton Jaya</t>
  </si>
  <si>
    <t>PT Enzim Global</t>
  </si>
  <si>
    <t>Restock bahan tambahan</t>
  </si>
  <si>
    <t>PT FoodChem Indonesia</t>
  </si>
  <si>
    <t>PT Sumber Bumi</t>
  </si>
  <si>
    <t>PT Forti Pangan</t>
  </si>
  <si>
    <t>PT Label Makmur</t>
  </si>
  <si>
    <t>PT Baking Solution</t>
  </si>
  <si>
    <t>PT Kayu Mandiri</t>
  </si>
  <si>
    <t>PT Packaging Indo</t>
  </si>
  <si>
    <t>PT Label Indo Jaya</t>
  </si>
  <si>
    <t>No Delivery Order</t>
  </si>
  <si>
    <t>Customer</t>
  </si>
  <si>
    <t>Kota Tujuan</t>
  </si>
  <si>
    <t>Ekspedisi</t>
  </si>
  <si>
    <t>No. Resi</t>
  </si>
  <si>
    <t>Plat Nomer</t>
  </si>
  <si>
    <t>Status</t>
  </si>
  <si>
    <t>Tanggal Diterima</t>
  </si>
  <si>
    <t>Lead Time</t>
  </si>
  <si>
    <t>Keterlambatan</t>
  </si>
  <si>
    <t>DO-001</t>
  </si>
  <si>
    <t>PT Martinez-Murray</t>
  </si>
  <si>
    <t>Balikpapan</t>
  </si>
  <si>
    <t>NA</t>
  </si>
  <si>
    <t>Delivered</t>
  </si>
  <si>
    <t>Total Tepat Waktu</t>
  </si>
  <si>
    <t>DO-002</t>
  </si>
  <si>
    <t>PT Brown Group</t>
  </si>
  <si>
    <t>Surabaya</t>
  </si>
  <si>
    <t>Armada Perusahaan</t>
  </si>
  <si>
    <t>AB7890IJ</t>
  </si>
  <si>
    <t>Total Terlambat/Cancel</t>
  </si>
  <si>
    <t>DO-003</t>
  </si>
  <si>
    <t>PT Roman, Johnson and Wright</t>
  </si>
  <si>
    <t>Bandung</t>
  </si>
  <si>
    <t>L1234AB</t>
  </si>
  <si>
    <t>Total PO</t>
  </si>
  <si>
    <t>DO-004</t>
  </si>
  <si>
    <t>PT Hatfield-Pearson</t>
  </si>
  <si>
    <t>Yogyakarta</t>
  </si>
  <si>
    <t>DO-005</t>
  </si>
  <si>
    <t>PT Graves LLC</t>
  </si>
  <si>
    <t>Medan</t>
  </si>
  <si>
    <t>POS Indonesia</t>
  </si>
  <si>
    <t>DO-006</t>
  </si>
  <si>
    <t>PT Salas-Hodges</t>
  </si>
  <si>
    <t>B9012EF</t>
  </si>
  <si>
    <t>DO-007</t>
  </si>
  <si>
    <t>PT Woodard Ltd</t>
  </si>
  <si>
    <t>Denpasar</t>
  </si>
  <si>
    <t>DO-008</t>
  </si>
  <si>
    <t>PT White, Hill and Pruitt</t>
  </si>
  <si>
    <t>Jakarta</t>
  </si>
  <si>
    <t>S5678CD</t>
  </si>
  <si>
    <t>DO-009</t>
  </si>
  <si>
    <t>PT Mckinney, Johnson and Campbell</t>
  </si>
  <si>
    <t>Cancel</t>
  </si>
  <si>
    <t>DO-010</t>
  </si>
  <si>
    <t>PT Bailey-Jimenez</t>
  </si>
  <si>
    <t>W3456GH</t>
  </si>
  <si>
    <t>DO-011</t>
  </si>
  <si>
    <t>PT Sanchez-Brown</t>
  </si>
  <si>
    <t>DO-012</t>
  </si>
  <si>
    <t>PT Johnson-Moreno</t>
  </si>
  <si>
    <t>DO-013</t>
  </si>
  <si>
    <t>PT Hamilton Ltd</t>
  </si>
  <si>
    <t>DO-014</t>
  </si>
  <si>
    <t>PT Davis-Huynh</t>
  </si>
  <si>
    <t>DO-015</t>
  </si>
  <si>
    <t>PT Taylor-Tran</t>
  </si>
  <si>
    <t>DO-016</t>
  </si>
  <si>
    <t>PT Barber-Cook</t>
  </si>
  <si>
    <t>DO-017</t>
  </si>
  <si>
    <t>PT Webb, Miller and Roth</t>
  </si>
  <si>
    <t>DO-018</t>
  </si>
  <si>
    <t>PT Williams, Oneill and Brown</t>
  </si>
  <si>
    <t>DO-019</t>
  </si>
  <si>
    <t>PT Nielsen, Contreras and Miller</t>
  </si>
  <si>
    <t>Makassar</t>
  </si>
  <si>
    <t>DO-020</t>
  </si>
  <si>
    <t>PT Schwartz LLC</t>
  </si>
  <si>
    <t>DO-021</t>
  </si>
  <si>
    <t>PT Tucker PLC</t>
  </si>
  <si>
    <t>DO-022</t>
  </si>
  <si>
    <t>PT Carroll, Nguyen and Nguyen</t>
  </si>
  <si>
    <t>DO-023</t>
  </si>
  <si>
    <t>PT Hall, Johnson and Gomez</t>
  </si>
  <si>
    <t>DO-024</t>
  </si>
  <si>
    <t>PT Brock-Rosario</t>
  </si>
  <si>
    <t>DO-025</t>
  </si>
  <si>
    <t>PT Hunt PLC</t>
  </si>
  <si>
    <t>DO-026</t>
  </si>
  <si>
    <t>PT Cline Group</t>
  </si>
  <si>
    <t>DO-027</t>
  </si>
  <si>
    <t>PT Gutierrez Ltd</t>
  </si>
  <si>
    <t>DO-028</t>
  </si>
  <si>
    <t>PT Myers-Garcia</t>
  </si>
  <si>
    <t>Pontianak</t>
  </si>
  <si>
    <t>DO-029</t>
  </si>
  <si>
    <t>PT Logan Group</t>
  </si>
  <si>
    <t>DO-030</t>
  </si>
  <si>
    <t>PT Gibson-Webb</t>
  </si>
  <si>
    <t>DO-031</t>
  </si>
  <si>
    <t>PT Watkins, Day and Wolf</t>
  </si>
  <si>
    <t>Semarang</t>
  </si>
  <si>
    <t>DO-032</t>
  </si>
  <si>
    <t>PT Lin-Escobar</t>
  </si>
  <si>
    <t>DO-033</t>
  </si>
  <si>
    <t>PT Lawrence-Burke</t>
  </si>
  <si>
    <t>DO-034</t>
  </si>
  <si>
    <t>PT Munoz-Wilcox</t>
  </si>
  <si>
    <t>DO-035</t>
  </si>
  <si>
    <t>PT Russo Inc</t>
  </si>
  <si>
    <t>DO-036</t>
  </si>
  <si>
    <t>PT Beard, Johnson and Walsh</t>
  </si>
  <si>
    <t>DO-037</t>
  </si>
  <si>
    <t>PT Jordan Inc</t>
  </si>
  <si>
    <t>DO-038</t>
  </si>
  <si>
    <t>PT Hill-Baker</t>
  </si>
  <si>
    <t>DO-039</t>
  </si>
  <si>
    <t>PT Parker, Flores and Jones</t>
  </si>
  <si>
    <t>DO-040</t>
  </si>
  <si>
    <t>PT Williams, Miller and Ali</t>
  </si>
  <si>
    <t>DO-041</t>
  </si>
  <si>
    <t>PT Davis Ltd</t>
  </si>
  <si>
    <t>DO-042</t>
  </si>
  <si>
    <t>PT Russell LLC</t>
  </si>
  <si>
    <t>DO-043</t>
  </si>
  <si>
    <t>PT Reyes, Adams and Ross</t>
  </si>
  <si>
    <t>DO-044</t>
  </si>
  <si>
    <t>PT Duncan Group</t>
  </si>
  <si>
    <t>DO-045</t>
  </si>
  <si>
    <t>PT David-Smith</t>
  </si>
  <si>
    <t>DO-046</t>
  </si>
  <si>
    <t>PT Turner, Moreno and Johnson</t>
  </si>
  <si>
    <t>DO-047</t>
  </si>
  <si>
    <t>PT Velasquez PLC</t>
  </si>
  <si>
    <t>DO-048</t>
  </si>
  <si>
    <t>PT Wiley Inc</t>
  </si>
  <si>
    <t>DO-049</t>
  </si>
  <si>
    <t>PT Dawson-Freeman</t>
  </si>
  <si>
    <t>DO-050</t>
  </si>
  <si>
    <t>PT Mendoza-White</t>
  </si>
  <si>
    <t>DO-051</t>
  </si>
  <si>
    <t>PT Stevens, Velasquez and Hubbard</t>
  </si>
  <si>
    <t>DO-052</t>
  </si>
  <si>
    <t>PT Smith-Gray</t>
  </si>
  <si>
    <t>DO-053</t>
  </si>
  <si>
    <t>PT Patton, Black and Munoz</t>
  </si>
  <si>
    <t>DO-054</t>
  </si>
  <si>
    <t>PT Dennis Inc</t>
  </si>
  <si>
    <t>DO-055</t>
  </si>
  <si>
    <t>PT Hall, Green and Collins</t>
  </si>
  <si>
    <t>DO-056</t>
  </si>
  <si>
    <t>PT Walter, Hughes and Anderson</t>
  </si>
  <si>
    <t>DO-057</t>
  </si>
  <si>
    <t>PT Roth PLC</t>
  </si>
  <si>
    <t>DO-058</t>
  </si>
  <si>
    <t>PT Cummings-Stevens</t>
  </si>
  <si>
    <t>DO-059</t>
  </si>
  <si>
    <t>PT Cross PLC</t>
  </si>
  <si>
    <t>DO-060</t>
  </si>
  <si>
    <t>PT Kelly LLC</t>
  </si>
  <si>
    <t>DO-061</t>
  </si>
  <si>
    <t>PT Conley-Davis</t>
  </si>
  <si>
    <t>DO-062</t>
  </si>
  <si>
    <t>PT Byrd Inc</t>
  </si>
  <si>
    <t>DO-063</t>
  </si>
  <si>
    <t>PT Richards-Richards</t>
  </si>
  <si>
    <t>DO-064</t>
  </si>
  <si>
    <t>PT Moore-Smith</t>
  </si>
  <si>
    <t>DO-065</t>
  </si>
  <si>
    <t>PT Dorsey and Sons</t>
  </si>
  <si>
    <t>DO-066</t>
  </si>
  <si>
    <t>PT Ferrell, Hughes and Reed</t>
  </si>
  <si>
    <t>DO-067</t>
  </si>
  <si>
    <t>PT Gutierrez-Olson</t>
  </si>
  <si>
    <t>DO-068</t>
  </si>
  <si>
    <t>PT Gay, Meza and Jackson</t>
  </si>
  <si>
    <t>DO-069</t>
  </si>
  <si>
    <t>PT Hurley-Henry</t>
  </si>
  <si>
    <t>DO-070</t>
  </si>
  <si>
    <t>PT Evans-Floyd</t>
  </si>
  <si>
    <t>DO-071</t>
  </si>
  <si>
    <t>PT Cervantes-Estrada</t>
  </si>
  <si>
    <t>DO-072</t>
  </si>
  <si>
    <t>PT Thompson, Young and Smith</t>
  </si>
  <si>
    <t>DO-073</t>
  </si>
  <si>
    <t>PT Hopkins, Hudson and Larson</t>
  </si>
  <si>
    <t>DO-074</t>
  </si>
  <si>
    <t>PT Johnson-Chandler</t>
  </si>
  <si>
    <t>DO-075</t>
  </si>
  <si>
    <t>PT Schroeder Ltd</t>
  </si>
  <si>
    <t>DO-076</t>
  </si>
  <si>
    <t>PT Pierce PLC</t>
  </si>
  <si>
    <t>DO-077</t>
  </si>
  <si>
    <t>PT Hall Group</t>
  </si>
  <si>
    <t>DO-078</t>
  </si>
  <si>
    <t>PT Robinson, Hall and Fields</t>
  </si>
  <si>
    <t>DO-079</t>
  </si>
  <si>
    <t>PT Fernandez-Freeman</t>
  </si>
  <si>
    <t>DO-080</t>
  </si>
  <si>
    <t>PT Archer-Cortez</t>
  </si>
  <si>
    <t>DO-081</t>
  </si>
  <si>
    <t>PT Jones LLC</t>
  </si>
  <si>
    <t>DO-082</t>
  </si>
  <si>
    <t>PT Castillo, Morales and Lang</t>
  </si>
  <si>
    <t>DO-083</t>
  </si>
  <si>
    <t>PT Murphy, Mckenzie and Davis</t>
  </si>
  <si>
    <t>DO-084</t>
  </si>
  <si>
    <t>PT Cruz Ltd</t>
  </si>
  <si>
    <t>DO-085</t>
  </si>
  <si>
    <t>PT Jordan-Brown</t>
  </si>
  <si>
    <t>DO-086</t>
  </si>
  <si>
    <t>PT Tanner, Lawrence and Peters</t>
  </si>
  <si>
    <t>DO-087</t>
  </si>
  <si>
    <t>PT Brown, Howard and Robbins</t>
  </si>
  <si>
    <t>DO-088</t>
  </si>
  <si>
    <t>PT Welch-Cochran</t>
  </si>
  <si>
    <t>DO-089</t>
  </si>
  <si>
    <t>PT Johnson LLC</t>
  </si>
  <si>
    <t>DO-090</t>
  </si>
  <si>
    <t>PT Hogan, Mathis and Williams</t>
  </si>
  <si>
    <t>DO-091</t>
  </si>
  <si>
    <t>PT Davis-Walter</t>
  </si>
  <si>
    <t>DO-092</t>
  </si>
  <si>
    <t>PT Page, Harvey and Nguyen</t>
  </si>
  <si>
    <t>DO-093</t>
  </si>
  <si>
    <t>PT Johnson-Norman</t>
  </si>
  <si>
    <t>DO-094</t>
  </si>
  <si>
    <t>PT Richardson, Shaw and Jackson</t>
  </si>
  <si>
    <t>DO-095</t>
  </si>
  <si>
    <t>PT Smith and Sons</t>
  </si>
  <si>
    <t>DO-096</t>
  </si>
  <si>
    <t>PT Harper Ltd</t>
  </si>
  <si>
    <t>DO-097</t>
  </si>
  <si>
    <t>PT Williams, Vazquez and Williams</t>
  </si>
  <si>
    <t>DO-098</t>
  </si>
  <si>
    <t>PT Williamson-King</t>
  </si>
  <si>
    <t>DO-099</t>
  </si>
  <si>
    <t>PT Carr Group</t>
  </si>
  <si>
    <t>Pending</t>
  </si>
  <si>
    <t>DO-100</t>
  </si>
  <si>
    <t>PT Peterson-Arnold</t>
  </si>
  <si>
    <t>DO-101</t>
  </si>
  <si>
    <t>DO-102</t>
  </si>
  <si>
    <t>DO-103</t>
  </si>
  <si>
    <t>DO-104</t>
  </si>
  <si>
    <t>DO-105</t>
  </si>
  <si>
    <t>DO-106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</si>
  <si>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</si>
  <si>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</si>
  <si>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</si>
  <si>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</si>
  <si>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</si>
  <si>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</si>
  <si>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</si>
  <si>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</si>
  <si>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</si>
  <si>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</si>
  <si>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</si>
  <si>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</si>
  <si>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</si>
  <si>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Tepat Waktu</t>
  </si>
  <si>
    <t>Terlambar/Cancel</t>
  </si>
  <si>
    <t>Row Labels</t>
  </si>
  <si>
    <t>Total Stok Awal</t>
  </si>
  <si>
    <t>Total Stok Akhir</t>
  </si>
  <si>
    <t>Barang</t>
  </si>
  <si>
    <t>Stok Akhir Barang</t>
  </si>
  <si>
    <t>Sum of Barang Masuk</t>
  </si>
  <si>
    <t>Total</t>
  </si>
  <si>
    <t>Sum of Barang Keluar</t>
  </si>
  <si>
    <t>Count of No Delivery Order</t>
  </si>
  <si>
    <t>Terlambat/Cancel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</si>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</sst>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1F1F1F"/>
      <name val="Calibri"/>
    </font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E5034"/>
        <bgColor indexed="64"/>
      </patternFill>
    </fill>
    <fill>
      <patternFill patternType="solid">
        <fgColor rgb="FF6E5034"/>
        <bgColor rgb="FF1155CC"/>
      </patternFill>
    </fill>
    <fill>
      <patternFill patternType="solid">
        <fgColor rgb="FFAC7D5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9">
    <xf numFmtId="0" fontId="0" fillId="0" borderId="0" xfId="0"/>
    <xf numFmtId="0" fontId="3" fillId="0" borderId="1" xfId="0" applyFont="1" applyBorder="1"/>
    <xf numFmtId="0" fontId="5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4" xfId="0" applyFont="1" applyBorder="1"/>
    <xf numFmtId="0" fontId="10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4" xfId="0" applyBorder="1"/>
    <xf numFmtId="3" fontId="0" fillId="0" borderId="4" xfId="0" applyNumberFormat="1" applyBorder="1"/>
    <xf numFmtId="3" fontId="0" fillId="0" borderId="4" xfId="0" applyNumberFormat="1" applyFill="1" applyBorder="1"/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2" borderId="3" xfId="0" applyFont="1" applyFill="1" applyBorder="1"/>
    <xf numFmtId="0" fontId="1" fillId="3" borderId="1" xfId="0" applyFont="1" applyFill="1" applyBorder="1"/>
    <xf numFmtId="0" fontId="4" fillId="3" borderId="4" xfId="0" applyFont="1" applyFill="1" applyBorder="1" applyAlignment="1">
      <alignment horizontal="center"/>
    </xf>
    <xf numFmtId="0" fontId="11" fillId="2" borderId="4" xfId="0" applyFont="1" applyFill="1" applyBorder="1"/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2" fillId="2" borderId="4" xfId="0" applyFont="1" applyFill="1" applyBorder="1" applyAlignment="1">
      <alignment horizontal="left"/>
    </xf>
    <xf numFmtId="9" fontId="0" fillId="0" borderId="4" xfId="1" applyFont="1" applyBorder="1"/>
    <xf numFmtId="0" fontId="12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/>
    </xf>
    <xf numFmtId="0" fontId="12" fillId="4" borderId="0" xfId="0" applyNumberFormat="1" applyFont="1" applyFill="1"/>
    <xf numFmtId="14" fontId="4" fillId="3" borderId="4" xfId="0" applyNumberFormat="1" applyFont="1" applyFill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4" xfId="0" applyFont="1" applyBorder="1"/>
    <xf numFmtId="14" fontId="6" fillId="0" borderId="4" xfId="0" applyNumberFormat="1" applyFont="1" applyBorder="1" applyAlignment="1">
      <alignment horizontal="center"/>
    </xf>
    <xf numFmtId="14" fontId="8" fillId="3" borderId="4" xfId="0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92">
    <dxf>
      <font>
        <color theme="0"/>
      </font>
    </dxf>
    <dxf>
      <font>
        <color theme="0"/>
      </font>
    </dxf>
    <dxf>
      <fill>
        <patternFill patternType="solid">
          <bgColor rgb="FFAC7D52"/>
        </patternFill>
      </fill>
    </dxf>
    <dxf>
      <fill>
        <patternFill patternType="solid">
          <bgColor rgb="FFAC7D5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AC7D52"/>
        </patternFill>
      </fill>
    </dxf>
    <dxf>
      <fill>
        <patternFill patternType="solid">
          <bgColor rgb="FFAC7D5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AC7D52"/>
        </patternFill>
      </fill>
    </dxf>
    <dxf>
      <fill>
        <patternFill patternType="solid">
          <bgColor rgb="FFAC7D5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AC7D52"/>
        </patternFill>
      </fill>
    </dxf>
    <dxf>
      <fill>
        <patternFill patternType="solid">
          <bgColor rgb="FFAC7D5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AC7D52"/>
        </patternFill>
      </fill>
    </dxf>
    <dxf>
      <fill>
        <patternFill patternType="solid">
          <bgColor rgb="FFAC7D5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AC7D52"/>
        </patternFill>
      </fill>
    </dxf>
    <dxf>
      <fill>
        <patternFill patternType="solid">
          <bgColor rgb="FFAC7D52"/>
        </patternFill>
      </fill>
    </dxf>
    <dxf>
      <fill>
        <patternFill patternType="solid">
          <bgColor rgb="FFAC7D52"/>
        </patternFill>
      </fill>
    </dxf>
    <dxf>
      <fill>
        <patternFill patternType="solid">
          <bgColor rgb="FFAC7D52"/>
        </patternFill>
      </fill>
    </dxf>
    <dxf>
      <fill>
        <patternFill>
          <bgColor rgb="FFAC7D52"/>
        </patternFill>
      </fill>
    </dxf>
    <dxf>
      <fill>
        <patternFill>
          <bgColor rgb="FFAC7D52"/>
        </patternFill>
      </fill>
    </dxf>
    <dxf>
      <fill>
        <patternFill>
          <bgColor rgb="FFAC7D52"/>
        </patternFill>
      </fill>
    </dxf>
    <dxf>
      <fill>
        <patternFill>
          <bgColor rgb="FFAC7D52"/>
        </patternFill>
      </fill>
    </dxf>
    <dxf>
      <fill>
        <patternFill>
          <bgColor rgb="FFAC7D52"/>
        </patternFill>
      </fill>
    </dxf>
    <dxf>
      <fill>
        <patternFill>
          <bgColor rgb="FFAC7D5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6E5034"/>
        </patternFill>
      </fill>
    </dxf>
    <dxf>
      <fill>
        <patternFill patternType="solid">
          <bgColor rgb="FF6E5034"/>
        </patternFill>
      </fill>
    </dxf>
    <dxf>
      <fill>
        <patternFill patternType="solid">
          <bgColor rgb="FF6E5034"/>
        </patternFill>
      </fill>
    </dxf>
    <dxf>
      <fill>
        <patternFill patternType="solid">
          <bgColor rgb="FF6E5034"/>
        </patternFill>
      </fill>
    </dxf>
    <dxf>
      <fill>
        <patternFill patternType="solid">
          <bgColor rgb="FF6E5034"/>
        </patternFill>
      </fill>
    </dxf>
    <dxf>
      <fill>
        <patternFill patternType="solid">
          <bgColor rgb="FF6E5034"/>
        </patternFill>
      </fill>
    </dxf>
    <dxf>
      <fill>
        <patternFill patternType="solid">
          <bgColor rgb="FF6E5034"/>
        </patternFill>
      </fill>
    </dxf>
    <dxf>
      <fill>
        <patternFill patternType="solid">
          <bgColor rgb="FF6E5034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6E5034"/>
        </patternFill>
      </fill>
    </dxf>
    <dxf>
      <fill>
        <patternFill patternType="solid">
          <bgColor rgb="FF6E5034"/>
        </patternFill>
      </fill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fill>
        <patternFill patternType="solid">
          <bgColor rgb="FF6E5034"/>
        </patternFill>
      </fill>
    </dxf>
    <dxf>
      <fill>
        <patternFill patternType="solid">
          <bgColor rgb="FF6E5034"/>
        </patternFill>
      </fill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6E5034"/>
        </patternFill>
      </fill>
    </dxf>
    <dxf>
      <fill>
        <patternFill patternType="solid">
          <bgColor rgb="FF6E5034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6E5034"/>
        </patternFill>
      </fill>
    </dxf>
    <dxf>
      <fill>
        <patternFill patternType="solid">
          <bgColor rgb="FF6E5034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6E5034"/>
        </patternFill>
      </fill>
    </dxf>
    <dxf>
      <fill>
        <patternFill patternType="solid">
          <bgColor rgb="FF6E5034"/>
        </patternFill>
      </fill>
    </dxf>
  </dxfs>
  <tableStyles count="0" defaultTableStyle="TableStyleMedium2" defaultPivotStyle="PivotStyleLight16"/>
  <colors>
    <mruColors>
      <color rgb="FFAC7D52"/>
      <color rgb="FFC5A385"/>
      <color rgb="FF6E5034"/>
      <color rgb="FF3A9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and Delivery Tracking System.xlsx]Pivot Tabel!PivotTable3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Poppins" panose="00000800000000000000" pitchFamily="2" charset="0"/>
                <a:ea typeface="+mn-ea"/>
                <a:cs typeface="Poppins" panose="00000800000000000000" pitchFamily="2" charset="0"/>
              </a:defRPr>
            </a:pPr>
            <a:r>
              <a:rPr lang="en-US" sz="16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Supplier Barang</a:t>
            </a:r>
          </a:p>
        </c:rich>
      </c:tx>
      <c:layout>
        <c:manualLayout>
          <c:xMode val="edge"/>
          <c:yMode val="edge"/>
          <c:x val="0.40775649090143967"/>
          <c:y val="3.4580669895648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Poppins" panose="00000800000000000000" pitchFamily="2" charset="0"/>
              <a:ea typeface="+mn-ea"/>
              <a:cs typeface="Poppins" panose="000008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392472954380908E-2"/>
          <c:y val="0.17981948345736992"/>
          <c:w val="0.92697255948820989"/>
          <c:h val="0.553636797318064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Tabel'!$F$2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0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Tabel'!$E$3:$E$38</c:f>
              <c:strCache>
                <c:ptCount val="35"/>
                <c:pt idx="0">
                  <c:v>PT Sumber Pangan</c:v>
                </c:pt>
                <c:pt idx="1">
                  <c:v>PT Agro Makmur</c:v>
                </c:pt>
                <c:pt idx="2">
                  <c:v>PT Pangan Nusantara</c:v>
                </c:pt>
                <c:pt idx="3">
                  <c:v>PT Pangan Jaya</c:v>
                </c:pt>
                <c:pt idx="4">
                  <c:v>PT Plastik Nusantara</c:v>
                </c:pt>
                <c:pt idx="5">
                  <c:v>PT Karton Indonesia</c:v>
                </c:pt>
                <c:pt idx="6">
                  <c:v>PT Plastik Indo</c:v>
                </c:pt>
                <c:pt idx="7">
                  <c:v>PT Karton Nusantara</c:v>
                </c:pt>
                <c:pt idx="8">
                  <c:v>PT Plastik Sejahtera</c:v>
                </c:pt>
                <c:pt idx="9">
                  <c:v>PT Karton Jaya</c:v>
                </c:pt>
                <c:pt idx="10">
                  <c:v>PT Kemasan Jaya</c:v>
                </c:pt>
                <c:pt idx="11">
                  <c:v>PT Distributor B</c:v>
                </c:pt>
                <c:pt idx="12">
                  <c:v>PT Distributor A</c:v>
                </c:pt>
                <c:pt idx="13">
                  <c:v>PT Distributor C</c:v>
                </c:pt>
                <c:pt idx="14">
                  <c:v>PT Mega Flour</c:v>
                </c:pt>
                <c:pt idx="15">
                  <c:v>PT Baker Indonesia</c:v>
                </c:pt>
                <c:pt idx="16">
                  <c:v>PT Labelindo</c:v>
                </c:pt>
                <c:pt idx="17">
                  <c:v>PT Label Makmur</c:v>
                </c:pt>
                <c:pt idx="18">
                  <c:v>PT Packaging Indo</c:v>
                </c:pt>
                <c:pt idx="19">
                  <c:v>PT Sumber Bumi</c:v>
                </c:pt>
                <c:pt idx="20">
                  <c:v>PT Label Indo Jaya</c:v>
                </c:pt>
                <c:pt idx="21">
                  <c:v>PT Nutri Pangan</c:v>
                </c:pt>
                <c:pt idx="22">
                  <c:v>PT Indo Additive</c:v>
                </c:pt>
                <c:pt idx="23">
                  <c:v>PT FoodChem Indonesia</c:v>
                </c:pt>
                <c:pt idx="24">
                  <c:v>PT Forti Pangan</c:v>
                </c:pt>
                <c:pt idx="25">
                  <c:v>PT Nutri Indo</c:v>
                </c:pt>
                <c:pt idx="26">
                  <c:v>PT Bio Enzim</c:v>
                </c:pt>
                <c:pt idx="27">
                  <c:v>PT Enzim Global</c:v>
                </c:pt>
                <c:pt idx="28">
                  <c:v>PT Bio Enzim Nusantara</c:v>
                </c:pt>
                <c:pt idx="29">
                  <c:v>PT Food Additive Indonesia</c:v>
                </c:pt>
                <c:pt idx="30">
                  <c:v>PT Pallet Nusantara</c:v>
                </c:pt>
                <c:pt idx="31">
                  <c:v>PT Kayu Abadi</c:v>
                </c:pt>
                <c:pt idx="32">
                  <c:v>PT Baking Solution</c:v>
                </c:pt>
                <c:pt idx="33">
                  <c:v>PT Kayu Mandiri</c:v>
                </c:pt>
                <c:pt idx="34">
                  <c:v>PT Food Ingredient</c:v>
                </c:pt>
              </c:strCache>
            </c:strRef>
          </c:cat>
          <c:val>
            <c:numRef>
              <c:f>'Pivot Tabel'!$F$3:$F$38</c:f>
              <c:numCache>
                <c:formatCode>General</c:formatCode>
                <c:ptCount val="35"/>
                <c:pt idx="0">
                  <c:v>29970</c:v>
                </c:pt>
                <c:pt idx="1">
                  <c:v>28880</c:v>
                </c:pt>
                <c:pt idx="2">
                  <c:v>14920</c:v>
                </c:pt>
                <c:pt idx="3">
                  <c:v>13900</c:v>
                </c:pt>
                <c:pt idx="4">
                  <c:v>11700</c:v>
                </c:pt>
                <c:pt idx="5">
                  <c:v>11200</c:v>
                </c:pt>
                <c:pt idx="6">
                  <c:v>8400</c:v>
                </c:pt>
                <c:pt idx="7">
                  <c:v>8100</c:v>
                </c:pt>
                <c:pt idx="8">
                  <c:v>7700</c:v>
                </c:pt>
                <c:pt idx="9">
                  <c:v>6500</c:v>
                </c:pt>
                <c:pt idx="10">
                  <c:v>6050</c:v>
                </c:pt>
                <c:pt idx="11">
                  <c:v>5300</c:v>
                </c:pt>
                <c:pt idx="12">
                  <c:v>5100</c:v>
                </c:pt>
                <c:pt idx="13">
                  <c:v>5000</c:v>
                </c:pt>
                <c:pt idx="14">
                  <c:v>4550</c:v>
                </c:pt>
                <c:pt idx="15">
                  <c:v>4450</c:v>
                </c:pt>
                <c:pt idx="16">
                  <c:v>4200</c:v>
                </c:pt>
                <c:pt idx="17">
                  <c:v>4200</c:v>
                </c:pt>
                <c:pt idx="18">
                  <c:v>3100</c:v>
                </c:pt>
                <c:pt idx="19">
                  <c:v>3050</c:v>
                </c:pt>
                <c:pt idx="20">
                  <c:v>2400</c:v>
                </c:pt>
                <c:pt idx="21">
                  <c:v>1670</c:v>
                </c:pt>
                <c:pt idx="22">
                  <c:v>1210</c:v>
                </c:pt>
                <c:pt idx="23">
                  <c:v>1160</c:v>
                </c:pt>
                <c:pt idx="24">
                  <c:v>1010</c:v>
                </c:pt>
                <c:pt idx="25">
                  <c:v>980</c:v>
                </c:pt>
                <c:pt idx="26">
                  <c:v>950</c:v>
                </c:pt>
                <c:pt idx="27">
                  <c:v>845</c:v>
                </c:pt>
                <c:pt idx="28">
                  <c:v>820</c:v>
                </c:pt>
                <c:pt idx="29">
                  <c:v>820</c:v>
                </c:pt>
                <c:pt idx="30">
                  <c:v>450</c:v>
                </c:pt>
                <c:pt idx="31">
                  <c:v>450</c:v>
                </c:pt>
                <c:pt idx="32">
                  <c:v>380</c:v>
                </c:pt>
                <c:pt idx="33">
                  <c:v>380</c:v>
                </c:pt>
                <c:pt idx="34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C-4C7B-8774-57597C834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1286456784"/>
        <c:axId val="1286458704"/>
      </c:barChart>
      <c:catAx>
        <c:axId val="128645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458704"/>
        <c:crosses val="autoZero"/>
        <c:auto val="1"/>
        <c:lblAlgn val="ctr"/>
        <c:lblOffset val="100"/>
        <c:noMultiLvlLbl val="0"/>
      </c:catAx>
      <c:valAx>
        <c:axId val="128645870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2">
                  <a:lumMod val="75000"/>
                  <a:alpha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45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E5034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and Delivery Tracking System.xlsx]Pivot Tabel!PivotTable8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600" b="1">
                <a:solidFill>
                  <a:srgbClr val="6E5034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Distribusi Barang</a:t>
            </a:r>
            <a:r>
              <a:rPr lang="en-ID" sz="1600" b="1" baseline="0">
                <a:solidFill>
                  <a:srgbClr val="6E5034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 Setiap Bulannya</a:t>
            </a:r>
            <a:endParaRPr lang="en-ID" sz="1600" b="1">
              <a:solidFill>
                <a:srgbClr val="6E5034"/>
              </a:solidFill>
              <a:latin typeface="Poppins" panose="00000800000000000000" pitchFamily="2" charset="0"/>
              <a:cs typeface="Poppins" panose="000008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Tabel'!$R$2:$R$3</c:f>
              <c:strCache>
                <c:ptCount val="1"/>
                <c:pt idx="0">
                  <c:v>Tepung Terigu Khusus Kue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Tabel'!$Q$4:$Q$16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Tabel'!$R$4:$R$16</c:f>
              <c:numCache>
                <c:formatCode>General</c:formatCode>
                <c:ptCount val="12"/>
                <c:pt idx="0">
                  <c:v>1500</c:v>
                </c:pt>
                <c:pt idx="1">
                  <c:v>400</c:v>
                </c:pt>
                <c:pt idx="2">
                  <c:v>500</c:v>
                </c:pt>
                <c:pt idx="3">
                  <c:v>850</c:v>
                </c:pt>
                <c:pt idx="4">
                  <c:v>500</c:v>
                </c:pt>
                <c:pt idx="5">
                  <c:v>450</c:v>
                </c:pt>
                <c:pt idx="6">
                  <c:v>950</c:v>
                </c:pt>
                <c:pt idx="7">
                  <c:v>500</c:v>
                </c:pt>
                <c:pt idx="8">
                  <c:v>950</c:v>
                </c:pt>
                <c:pt idx="9">
                  <c:v>950</c:v>
                </c:pt>
                <c:pt idx="10">
                  <c:v>950</c:v>
                </c:pt>
                <c:pt idx="11">
                  <c:v>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EE-4AD9-B683-4DE6FC124679}"/>
            </c:ext>
          </c:extLst>
        </c:ser>
        <c:ser>
          <c:idx val="1"/>
          <c:order val="1"/>
          <c:tx>
            <c:strRef>
              <c:f>'Pivot Tabel'!$S$2:$S$3</c:f>
              <c:strCache>
                <c:ptCount val="1"/>
                <c:pt idx="0">
                  <c:v>Tepung Terigu Khusus Roti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Tabel'!$Q$4:$Q$16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Tabel'!$S$4:$S$16</c:f>
              <c:numCache>
                <c:formatCode>General</c:formatCode>
                <c:ptCount val="12"/>
                <c:pt idx="0">
                  <c:v>400</c:v>
                </c:pt>
                <c:pt idx="1">
                  <c:v>500</c:v>
                </c:pt>
                <c:pt idx="2">
                  <c:v>300</c:v>
                </c:pt>
                <c:pt idx="3">
                  <c:v>400</c:v>
                </c:pt>
                <c:pt idx="4">
                  <c:v>350</c:v>
                </c:pt>
                <c:pt idx="5">
                  <c:v>450</c:v>
                </c:pt>
                <c:pt idx="6">
                  <c:v>300</c:v>
                </c:pt>
                <c:pt idx="8">
                  <c:v>450</c:v>
                </c:pt>
                <c:pt idx="10">
                  <c:v>350</c:v>
                </c:pt>
                <c:pt idx="11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EE-4AD9-B683-4DE6FC124679}"/>
            </c:ext>
          </c:extLst>
        </c:ser>
        <c:ser>
          <c:idx val="2"/>
          <c:order val="2"/>
          <c:tx>
            <c:strRef>
              <c:f>'Pivot Tabel'!$T$2:$T$3</c:f>
              <c:strCache>
                <c:ptCount val="1"/>
                <c:pt idx="0">
                  <c:v>Tepung Terigu Protein Rendah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Tabel'!$Q$4:$Q$16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Tabel'!$T$4:$T$16</c:f>
              <c:numCache>
                <c:formatCode>General</c:formatCode>
                <c:ptCount val="12"/>
                <c:pt idx="0">
                  <c:v>1650</c:v>
                </c:pt>
                <c:pt idx="1">
                  <c:v>1400</c:v>
                </c:pt>
                <c:pt idx="2">
                  <c:v>1450</c:v>
                </c:pt>
                <c:pt idx="3">
                  <c:v>2700</c:v>
                </c:pt>
                <c:pt idx="4">
                  <c:v>1800</c:v>
                </c:pt>
                <c:pt idx="5">
                  <c:v>1800</c:v>
                </c:pt>
                <c:pt idx="6">
                  <c:v>1200</c:v>
                </c:pt>
                <c:pt idx="7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EE-4AD9-B683-4DE6FC124679}"/>
            </c:ext>
          </c:extLst>
        </c:ser>
        <c:ser>
          <c:idx val="3"/>
          <c:order val="3"/>
          <c:tx>
            <c:strRef>
              <c:f>'Pivot Tabel'!$U$2:$U$3</c:f>
              <c:strCache>
                <c:ptCount val="1"/>
                <c:pt idx="0">
                  <c:v>Tepung Terigu Protein Tinggi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Tabel'!$Q$4:$Q$16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Tabel'!$U$4:$U$16</c:f>
              <c:numCache>
                <c:formatCode>General</c:formatCode>
                <c:ptCount val="12"/>
                <c:pt idx="0">
                  <c:v>900</c:v>
                </c:pt>
                <c:pt idx="1">
                  <c:v>1000</c:v>
                </c:pt>
                <c:pt idx="2">
                  <c:v>1200</c:v>
                </c:pt>
                <c:pt idx="3">
                  <c:v>900</c:v>
                </c:pt>
                <c:pt idx="4">
                  <c:v>1300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EE-4AD9-B683-4DE6FC124679}"/>
            </c:ext>
          </c:extLst>
        </c:ser>
        <c:ser>
          <c:idx val="4"/>
          <c:order val="4"/>
          <c:tx>
            <c:strRef>
              <c:f>'Pivot Tabel'!$V$2:$V$3</c:f>
              <c:strCache>
                <c:ptCount val="1"/>
                <c:pt idx="0">
                  <c:v>Tepung Terigu Serbaguna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Tabel'!$Q$4:$Q$16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Tabel'!$V$4:$V$16</c:f>
              <c:numCache>
                <c:formatCode>General</c:formatCode>
                <c:ptCount val="12"/>
                <c:pt idx="0">
                  <c:v>750</c:v>
                </c:pt>
                <c:pt idx="1">
                  <c:v>900</c:v>
                </c:pt>
                <c:pt idx="2">
                  <c:v>1100</c:v>
                </c:pt>
                <c:pt idx="3">
                  <c:v>850</c:v>
                </c:pt>
                <c:pt idx="4">
                  <c:v>1100</c:v>
                </c:pt>
                <c:pt idx="5">
                  <c:v>1300</c:v>
                </c:pt>
                <c:pt idx="6">
                  <c:v>1100</c:v>
                </c:pt>
                <c:pt idx="7">
                  <c:v>1500</c:v>
                </c:pt>
                <c:pt idx="8">
                  <c:v>1300</c:v>
                </c:pt>
                <c:pt idx="9">
                  <c:v>1700</c:v>
                </c:pt>
                <c:pt idx="10">
                  <c:v>1300</c:v>
                </c:pt>
                <c:pt idx="11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EE-4AD9-B683-4DE6FC12467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4491712"/>
        <c:axId val="1524507552"/>
      </c:lineChart>
      <c:catAx>
        <c:axId val="152449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6E503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507552"/>
        <c:crosses val="autoZero"/>
        <c:auto val="1"/>
        <c:lblAlgn val="ctr"/>
        <c:lblOffset val="100"/>
        <c:noMultiLvlLbl val="0"/>
      </c:catAx>
      <c:valAx>
        <c:axId val="152450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E503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49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E5034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rgbClr val="6E503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and Delivery Tracking System.xlsx]Pivot Tabel!PivotTable5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6E5034"/>
                </a:solidFill>
                <a:latin typeface="Poppins" panose="00000800000000000000" pitchFamily="2" charset="0"/>
                <a:ea typeface="+mn-ea"/>
                <a:cs typeface="Poppins" panose="00000800000000000000" pitchFamily="2" charset="0"/>
              </a:defRPr>
            </a:pPr>
            <a:r>
              <a:rPr lang="en-US" sz="1600" b="1">
                <a:solidFill>
                  <a:srgbClr val="6E5034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Total Distribusi Produk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6E5034"/>
              </a:solidFill>
              <a:latin typeface="Poppins" panose="00000800000000000000" pitchFamily="2" charset="0"/>
              <a:ea typeface="+mn-ea"/>
              <a:cs typeface="Poppins" panose="000008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E503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4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5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6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7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8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9"/>
        <c:spPr>
          <a:solidFill>
            <a:srgbClr val="6E5034"/>
          </a:solidFill>
          <a:ln w="19050">
            <a:noFill/>
          </a:ln>
          <a:effectLst/>
        </c:spPr>
      </c:pivotFmt>
      <c:pivotFmt>
        <c:idx val="20"/>
        <c:spPr>
          <a:solidFill>
            <a:srgbClr val="6E5034"/>
          </a:solidFill>
          <a:ln w="19050">
            <a:noFill/>
          </a:ln>
          <a:effectLst/>
        </c:spPr>
      </c:pivotFmt>
      <c:pivotFmt>
        <c:idx val="21"/>
        <c:spPr>
          <a:solidFill>
            <a:srgbClr val="6E5034"/>
          </a:solidFill>
          <a:ln w="19050">
            <a:noFill/>
          </a:ln>
          <a:effectLst/>
        </c:spPr>
      </c:pivotFmt>
      <c:pivotFmt>
        <c:idx val="22"/>
        <c:spPr>
          <a:solidFill>
            <a:srgbClr val="6E5034"/>
          </a:solidFill>
          <a:ln w="19050">
            <a:noFill/>
          </a:ln>
          <a:effectLst/>
        </c:spPr>
      </c:pivotFmt>
      <c:pivotFmt>
        <c:idx val="23"/>
        <c:spPr>
          <a:solidFill>
            <a:srgbClr val="6E503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E5034"/>
          </a:solidFill>
          <a:ln w="19050">
            <a:noFill/>
          </a:ln>
          <a:effectLst/>
        </c:spPr>
      </c:pivotFmt>
      <c:pivotFmt>
        <c:idx val="25"/>
        <c:spPr>
          <a:solidFill>
            <a:srgbClr val="6E5034"/>
          </a:solidFill>
          <a:ln w="19050">
            <a:noFill/>
          </a:ln>
          <a:effectLst/>
        </c:spPr>
      </c:pivotFmt>
      <c:pivotFmt>
        <c:idx val="26"/>
        <c:spPr>
          <a:solidFill>
            <a:srgbClr val="6E5034"/>
          </a:solidFill>
          <a:ln w="19050">
            <a:noFill/>
          </a:ln>
          <a:effectLst/>
        </c:spPr>
      </c:pivotFmt>
      <c:pivotFmt>
        <c:idx val="27"/>
        <c:spPr>
          <a:solidFill>
            <a:srgbClr val="6E5034"/>
          </a:solidFill>
          <a:ln w="19050">
            <a:noFill/>
          </a:ln>
          <a:effectLst/>
        </c:spPr>
      </c:pivotFmt>
      <c:pivotFmt>
        <c:idx val="28"/>
        <c:spPr>
          <a:solidFill>
            <a:srgbClr val="6E5034"/>
          </a:solidFill>
          <a:ln w="19050">
            <a:noFill/>
          </a:ln>
          <a:effectLst/>
        </c:spPr>
      </c:pivotFmt>
      <c:pivotFmt>
        <c:idx val="29"/>
        <c:spPr>
          <a:solidFill>
            <a:srgbClr val="6E5034"/>
          </a:solidFill>
          <a:ln w="19050">
            <a:noFill/>
          </a:ln>
          <a:effectLst/>
        </c:spPr>
      </c:pivotFmt>
      <c:pivotFmt>
        <c:idx val="30"/>
        <c:spPr>
          <a:solidFill>
            <a:srgbClr val="6E5034"/>
          </a:solidFill>
          <a:ln w="19050">
            <a:noFill/>
          </a:ln>
          <a:effectLst/>
        </c:spPr>
      </c:pivotFmt>
      <c:pivotFmt>
        <c:idx val="31"/>
        <c:spPr>
          <a:solidFill>
            <a:srgbClr val="6E5034"/>
          </a:solidFill>
          <a:ln w="19050">
            <a:noFill/>
          </a:ln>
          <a:effectLst/>
        </c:spPr>
      </c:pivotFmt>
      <c:pivotFmt>
        <c:idx val="32"/>
        <c:spPr>
          <a:solidFill>
            <a:srgbClr val="6E5034"/>
          </a:solidFill>
          <a:ln w="19050">
            <a:noFill/>
          </a:ln>
          <a:effectLst/>
        </c:spPr>
      </c:pivotFmt>
      <c:pivotFmt>
        <c:idx val="33"/>
        <c:spPr>
          <a:solidFill>
            <a:srgbClr val="6E5034"/>
          </a:solidFill>
          <a:ln w="19050">
            <a:noFill/>
          </a:ln>
          <a:effectLst/>
        </c:spPr>
      </c:pivotFmt>
      <c:pivotFmt>
        <c:idx val="34"/>
        <c:spPr>
          <a:solidFill>
            <a:srgbClr val="6E503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E5034"/>
          </a:solidFill>
          <a:ln w="19050">
            <a:noFill/>
          </a:ln>
          <a:effectLst/>
        </c:spPr>
      </c:pivotFmt>
      <c:pivotFmt>
        <c:idx val="36"/>
        <c:spPr>
          <a:solidFill>
            <a:srgbClr val="6E5034"/>
          </a:solidFill>
          <a:ln w="19050">
            <a:noFill/>
          </a:ln>
          <a:effectLst/>
        </c:spPr>
      </c:pivotFmt>
      <c:pivotFmt>
        <c:idx val="37"/>
        <c:spPr>
          <a:solidFill>
            <a:srgbClr val="6E5034"/>
          </a:solidFill>
          <a:ln w="19050">
            <a:noFill/>
          </a:ln>
          <a:effectLst/>
        </c:spPr>
      </c:pivotFmt>
      <c:pivotFmt>
        <c:idx val="38"/>
        <c:spPr>
          <a:solidFill>
            <a:srgbClr val="6E5034"/>
          </a:solidFill>
          <a:ln w="19050">
            <a:noFill/>
          </a:ln>
          <a:effectLst/>
        </c:spPr>
      </c:pivotFmt>
      <c:pivotFmt>
        <c:idx val="39"/>
        <c:spPr>
          <a:solidFill>
            <a:srgbClr val="6E5034"/>
          </a:solidFill>
          <a:ln w="19050">
            <a:noFill/>
          </a:ln>
          <a:effectLst/>
        </c:spPr>
      </c:pivotFmt>
      <c:pivotFmt>
        <c:idx val="40"/>
        <c:spPr>
          <a:solidFill>
            <a:srgbClr val="6E5034"/>
          </a:solidFill>
          <a:ln w="19050">
            <a:noFill/>
          </a:ln>
          <a:effectLst/>
        </c:spPr>
      </c:pivotFmt>
      <c:pivotFmt>
        <c:idx val="41"/>
        <c:spPr>
          <a:solidFill>
            <a:srgbClr val="6E5034"/>
          </a:solidFill>
          <a:ln w="19050">
            <a:noFill/>
          </a:ln>
          <a:effectLst/>
        </c:spPr>
      </c:pivotFmt>
      <c:pivotFmt>
        <c:idx val="42"/>
        <c:spPr>
          <a:solidFill>
            <a:srgbClr val="6E5034"/>
          </a:solidFill>
          <a:ln w="19050">
            <a:noFill/>
          </a:ln>
          <a:effectLst/>
        </c:spPr>
      </c:pivotFmt>
      <c:pivotFmt>
        <c:idx val="43"/>
        <c:spPr>
          <a:solidFill>
            <a:srgbClr val="6E5034"/>
          </a:solidFill>
          <a:ln w="19050">
            <a:noFill/>
          </a:ln>
          <a:effectLst/>
        </c:spPr>
      </c:pivotFmt>
      <c:pivotFmt>
        <c:idx val="44"/>
        <c:spPr>
          <a:solidFill>
            <a:srgbClr val="6E5034"/>
          </a:solidFill>
          <a:ln w="19050">
            <a:noFill/>
          </a:ln>
          <a:effectLst/>
        </c:spPr>
      </c:pivotFmt>
      <c:pivotFmt>
        <c:idx val="45"/>
        <c:spPr>
          <a:solidFill>
            <a:srgbClr val="6E503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E5034"/>
          </a:solidFill>
          <a:ln w="19050">
            <a:noFill/>
          </a:ln>
          <a:effectLst/>
        </c:spPr>
      </c:pivotFmt>
      <c:pivotFmt>
        <c:idx val="47"/>
        <c:spPr>
          <a:solidFill>
            <a:srgbClr val="6E5034"/>
          </a:solidFill>
          <a:ln w="19050">
            <a:noFill/>
          </a:ln>
          <a:effectLst/>
        </c:spPr>
      </c:pivotFmt>
      <c:pivotFmt>
        <c:idx val="48"/>
        <c:spPr>
          <a:solidFill>
            <a:srgbClr val="6E5034"/>
          </a:solidFill>
          <a:ln w="19050">
            <a:noFill/>
          </a:ln>
          <a:effectLst/>
        </c:spPr>
      </c:pivotFmt>
      <c:pivotFmt>
        <c:idx val="49"/>
        <c:spPr>
          <a:solidFill>
            <a:srgbClr val="6E5034"/>
          </a:solidFill>
          <a:ln w="19050">
            <a:noFill/>
          </a:ln>
          <a:effectLst/>
        </c:spPr>
      </c:pivotFmt>
      <c:pivotFmt>
        <c:idx val="50"/>
        <c:spPr>
          <a:solidFill>
            <a:srgbClr val="6E5034"/>
          </a:solidFill>
          <a:ln w="19050">
            <a:noFill/>
          </a:ln>
          <a:effectLst/>
        </c:spPr>
      </c:pivotFmt>
      <c:pivotFmt>
        <c:idx val="51"/>
        <c:spPr>
          <a:solidFill>
            <a:srgbClr val="6E5034"/>
          </a:solidFill>
          <a:ln w="19050">
            <a:noFill/>
          </a:ln>
          <a:effectLst/>
        </c:spPr>
      </c:pivotFmt>
      <c:pivotFmt>
        <c:idx val="52"/>
        <c:spPr>
          <a:solidFill>
            <a:srgbClr val="6E5034"/>
          </a:solidFill>
          <a:ln w="19050">
            <a:noFill/>
          </a:ln>
          <a:effectLst/>
        </c:spPr>
      </c:pivotFmt>
      <c:pivotFmt>
        <c:idx val="53"/>
        <c:spPr>
          <a:solidFill>
            <a:srgbClr val="6E5034"/>
          </a:solidFill>
          <a:ln w="19050">
            <a:noFill/>
          </a:ln>
          <a:effectLst/>
        </c:spPr>
      </c:pivotFmt>
      <c:pivotFmt>
        <c:idx val="54"/>
        <c:spPr>
          <a:solidFill>
            <a:srgbClr val="6E5034"/>
          </a:solidFill>
          <a:ln w="19050">
            <a:noFill/>
          </a:ln>
          <a:effectLst/>
        </c:spPr>
      </c:pivotFmt>
      <c:pivotFmt>
        <c:idx val="55"/>
        <c:spPr>
          <a:solidFill>
            <a:srgbClr val="6E5034"/>
          </a:solidFill>
          <a:ln w="19050">
            <a:noFill/>
          </a:ln>
          <a:effectLst/>
        </c:spPr>
      </c:pivotFmt>
      <c:pivotFmt>
        <c:idx val="56"/>
        <c:spPr>
          <a:solidFill>
            <a:srgbClr val="6E503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E5034"/>
          </a:solidFill>
          <a:ln w="19050">
            <a:noFill/>
          </a:ln>
          <a:effectLst/>
        </c:spPr>
      </c:pivotFmt>
      <c:pivotFmt>
        <c:idx val="58"/>
        <c:spPr>
          <a:solidFill>
            <a:srgbClr val="6E5034"/>
          </a:solidFill>
          <a:ln w="19050">
            <a:noFill/>
          </a:ln>
          <a:effectLst/>
        </c:spPr>
      </c:pivotFmt>
      <c:pivotFmt>
        <c:idx val="59"/>
        <c:spPr>
          <a:solidFill>
            <a:srgbClr val="6E5034"/>
          </a:solidFill>
          <a:ln w="19050">
            <a:noFill/>
          </a:ln>
          <a:effectLst/>
        </c:spPr>
      </c:pivotFmt>
      <c:pivotFmt>
        <c:idx val="60"/>
        <c:spPr>
          <a:solidFill>
            <a:srgbClr val="6E5034"/>
          </a:solidFill>
          <a:ln w="19050">
            <a:noFill/>
          </a:ln>
          <a:effectLst/>
        </c:spPr>
      </c:pivotFmt>
      <c:pivotFmt>
        <c:idx val="61"/>
        <c:spPr>
          <a:solidFill>
            <a:srgbClr val="6E5034"/>
          </a:solidFill>
          <a:ln w="19050">
            <a:noFill/>
          </a:ln>
          <a:effectLst/>
        </c:spPr>
      </c:pivotFmt>
      <c:pivotFmt>
        <c:idx val="62"/>
        <c:spPr>
          <a:solidFill>
            <a:srgbClr val="6E5034"/>
          </a:solidFill>
          <a:ln w="19050">
            <a:noFill/>
          </a:ln>
          <a:effectLst/>
        </c:spPr>
      </c:pivotFmt>
      <c:pivotFmt>
        <c:idx val="63"/>
        <c:spPr>
          <a:solidFill>
            <a:srgbClr val="6E5034"/>
          </a:solidFill>
          <a:ln w="19050">
            <a:noFill/>
          </a:ln>
          <a:effectLst/>
        </c:spPr>
      </c:pivotFmt>
      <c:pivotFmt>
        <c:idx val="64"/>
        <c:spPr>
          <a:solidFill>
            <a:srgbClr val="6E5034"/>
          </a:solidFill>
          <a:ln w="19050">
            <a:noFill/>
          </a:ln>
          <a:effectLst/>
        </c:spPr>
      </c:pivotFmt>
      <c:pivotFmt>
        <c:idx val="65"/>
        <c:spPr>
          <a:solidFill>
            <a:srgbClr val="6E5034"/>
          </a:solidFill>
          <a:ln w="19050">
            <a:noFill/>
          </a:ln>
          <a:effectLst/>
        </c:spPr>
      </c:pivotFmt>
      <c:pivotFmt>
        <c:idx val="66"/>
        <c:spPr>
          <a:solidFill>
            <a:srgbClr val="6E5034"/>
          </a:solidFill>
          <a:ln w="19050">
            <a:noFill/>
          </a:ln>
          <a:effectLst/>
        </c:spPr>
      </c:pivotFmt>
      <c:pivotFmt>
        <c:idx val="67"/>
        <c:spPr>
          <a:solidFill>
            <a:srgbClr val="6E503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6E5034"/>
          </a:solidFill>
          <a:ln w="19050">
            <a:noFill/>
          </a:ln>
          <a:effectLst/>
        </c:spPr>
      </c:pivotFmt>
      <c:pivotFmt>
        <c:idx val="69"/>
        <c:spPr>
          <a:solidFill>
            <a:srgbClr val="6E5034"/>
          </a:solidFill>
          <a:ln w="19050">
            <a:noFill/>
          </a:ln>
          <a:effectLst/>
        </c:spPr>
      </c:pivotFmt>
      <c:pivotFmt>
        <c:idx val="70"/>
        <c:spPr>
          <a:solidFill>
            <a:srgbClr val="6E5034"/>
          </a:solidFill>
          <a:ln w="19050">
            <a:noFill/>
          </a:ln>
          <a:effectLst/>
        </c:spPr>
      </c:pivotFmt>
      <c:pivotFmt>
        <c:idx val="71"/>
        <c:spPr>
          <a:solidFill>
            <a:srgbClr val="6E5034"/>
          </a:solidFill>
          <a:ln w="19050">
            <a:noFill/>
          </a:ln>
          <a:effectLst/>
        </c:spPr>
      </c:pivotFmt>
      <c:pivotFmt>
        <c:idx val="72"/>
        <c:spPr>
          <a:solidFill>
            <a:srgbClr val="6E5034"/>
          </a:solidFill>
          <a:ln w="19050">
            <a:noFill/>
          </a:ln>
          <a:effectLst/>
        </c:spPr>
      </c:pivotFmt>
      <c:pivotFmt>
        <c:idx val="73"/>
        <c:spPr>
          <a:solidFill>
            <a:srgbClr val="6E5034"/>
          </a:solidFill>
          <a:ln w="19050">
            <a:noFill/>
          </a:ln>
          <a:effectLst/>
        </c:spPr>
      </c:pivotFmt>
      <c:pivotFmt>
        <c:idx val="74"/>
        <c:spPr>
          <a:solidFill>
            <a:srgbClr val="6E5034"/>
          </a:solidFill>
          <a:ln w="19050">
            <a:noFill/>
          </a:ln>
          <a:effectLst/>
        </c:spPr>
      </c:pivotFmt>
      <c:pivotFmt>
        <c:idx val="75"/>
        <c:spPr>
          <a:solidFill>
            <a:srgbClr val="6E5034"/>
          </a:solidFill>
          <a:ln w="19050">
            <a:noFill/>
          </a:ln>
          <a:effectLst/>
        </c:spPr>
      </c:pivotFmt>
      <c:pivotFmt>
        <c:idx val="76"/>
        <c:spPr>
          <a:solidFill>
            <a:srgbClr val="6E5034"/>
          </a:solidFill>
          <a:ln w="19050">
            <a:noFill/>
          </a:ln>
          <a:effectLst/>
        </c:spPr>
      </c:pivotFmt>
      <c:pivotFmt>
        <c:idx val="77"/>
        <c:spPr>
          <a:solidFill>
            <a:srgbClr val="6E5034"/>
          </a:solidFill>
          <a:ln w="19050">
            <a:noFill/>
          </a:ln>
          <a:effectLst/>
        </c:spPr>
      </c:pivotFmt>
      <c:pivotFmt>
        <c:idx val="78"/>
        <c:spPr>
          <a:solidFill>
            <a:srgbClr val="6E503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rgbClr val="6E5034"/>
          </a:solidFill>
          <a:ln w="19050">
            <a:noFill/>
          </a:ln>
          <a:effectLst/>
        </c:spPr>
      </c:pivotFmt>
      <c:pivotFmt>
        <c:idx val="80"/>
        <c:spPr>
          <a:solidFill>
            <a:srgbClr val="6E5034"/>
          </a:solidFill>
          <a:ln w="19050">
            <a:noFill/>
          </a:ln>
          <a:effectLst/>
        </c:spPr>
      </c:pivotFmt>
      <c:pivotFmt>
        <c:idx val="81"/>
        <c:spPr>
          <a:solidFill>
            <a:srgbClr val="6E5034"/>
          </a:solidFill>
          <a:ln w="19050">
            <a:noFill/>
          </a:ln>
          <a:effectLst/>
        </c:spPr>
      </c:pivotFmt>
      <c:pivotFmt>
        <c:idx val="82"/>
        <c:spPr>
          <a:solidFill>
            <a:srgbClr val="6E5034"/>
          </a:solidFill>
          <a:ln w="19050">
            <a:noFill/>
          </a:ln>
          <a:effectLst/>
        </c:spPr>
      </c:pivotFmt>
      <c:pivotFmt>
        <c:idx val="83"/>
        <c:spPr>
          <a:solidFill>
            <a:srgbClr val="6E5034"/>
          </a:solidFill>
          <a:ln w="19050">
            <a:noFill/>
          </a:ln>
          <a:effectLst/>
        </c:spPr>
      </c:pivotFmt>
      <c:pivotFmt>
        <c:idx val="84"/>
        <c:spPr>
          <a:solidFill>
            <a:srgbClr val="6E5034"/>
          </a:solidFill>
          <a:ln w="19050">
            <a:noFill/>
          </a:ln>
          <a:effectLst/>
        </c:spPr>
      </c:pivotFmt>
      <c:pivotFmt>
        <c:idx val="85"/>
        <c:spPr>
          <a:solidFill>
            <a:srgbClr val="6E5034"/>
          </a:solidFill>
          <a:ln w="19050">
            <a:noFill/>
          </a:ln>
          <a:effectLst/>
        </c:spPr>
      </c:pivotFmt>
      <c:pivotFmt>
        <c:idx val="86"/>
        <c:spPr>
          <a:solidFill>
            <a:srgbClr val="6E5034"/>
          </a:solidFill>
          <a:ln w="19050">
            <a:noFill/>
          </a:ln>
          <a:effectLst/>
        </c:spPr>
      </c:pivotFmt>
      <c:pivotFmt>
        <c:idx val="87"/>
        <c:spPr>
          <a:solidFill>
            <a:srgbClr val="6E5034"/>
          </a:solidFill>
          <a:ln w="19050">
            <a:noFill/>
          </a:ln>
          <a:effectLst/>
        </c:spPr>
      </c:pivotFmt>
      <c:pivotFmt>
        <c:idx val="88"/>
        <c:spPr>
          <a:solidFill>
            <a:srgbClr val="6E5034"/>
          </a:solidFill>
          <a:ln w="19050">
            <a:noFill/>
          </a:ln>
          <a:effectLst/>
        </c:spPr>
      </c:pivotFmt>
      <c:pivotFmt>
        <c:idx val="89"/>
        <c:spPr>
          <a:solidFill>
            <a:srgbClr val="6E503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rgbClr val="6E5034"/>
          </a:solidFill>
          <a:ln w="19050">
            <a:noFill/>
          </a:ln>
          <a:effectLst/>
        </c:spPr>
      </c:pivotFmt>
      <c:pivotFmt>
        <c:idx val="91"/>
        <c:spPr>
          <a:solidFill>
            <a:srgbClr val="6E5034"/>
          </a:solidFill>
          <a:ln w="19050">
            <a:noFill/>
          </a:ln>
          <a:effectLst/>
        </c:spPr>
      </c:pivotFmt>
      <c:pivotFmt>
        <c:idx val="92"/>
        <c:spPr>
          <a:solidFill>
            <a:srgbClr val="6E5034"/>
          </a:solidFill>
          <a:ln w="19050">
            <a:noFill/>
          </a:ln>
          <a:effectLst/>
        </c:spPr>
      </c:pivotFmt>
      <c:pivotFmt>
        <c:idx val="93"/>
        <c:spPr>
          <a:solidFill>
            <a:srgbClr val="6E5034"/>
          </a:solidFill>
          <a:ln w="19050">
            <a:noFill/>
          </a:ln>
          <a:effectLst/>
        </c:spPr>
      </c:pivotFmt>
      <c:pivotFmt>
        <c:idx val="94"/>
        <c:spPr>
          <a:solidFill>
            <a:srgbClr val="6E5034"/>
          </a:solidFill>
          <a:ln w="19050">
            <a:noFill/>
          </a:ln>
          <a:effectLst/>
        </c:spPr>
      </c:pivotFmt>
      <c:pivotFmt>
        <c:idx val="95"/>
        <c:spPr>
          <a:solidFill>
            <a:srgbClr val="6E5034"/>
          </a:solidFill>
          <a:ln w="19050">
            <a:noFill/>
          </a:ln>
          <a:effectLst/>
        </c:spPr>
      </c:pivotFmt>
      <c:pivotFmt>
        <c:idx val="96"/>
        <c:spPr>
          <a:solidFill>
            <a:srgbClr val="6E5034"/>
          </a:solidFill>
          <a:ln w="19050">
            <a:noFill/>
          </a:ln>
          <a:effectLst/>
        </c:spPr>
      </c:pivotFmt>
      <c:pivotFmt>
        <c:idx val="97"/>
        <c:spPr>
          <a:solidFill>
            <a:srgbClr val="6E5034"/>
          </a:solidFill>
          <a:ln w="19050">
            <a:noFill/>
          </a:ln>
          <a:effectLst/>
        </c:spPr>
      </c:pivotFmt>
      <c:pivotFmt>
        <c:idx val="98"/>
        <c:spPr>
          <a:solidFill>
            <a:srgbClr val="6E5034"/>
          </a:solidFill>
          <a:ln w="19050">
            <a:noFill/>
          </a:ln>
          <a:effectLst/>
        </c:spPr>
      </c:pivotFmt>
      <c:pivotFmt>
        <c:idx val="99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00"/>
        <c:spPr>
          <a:solidFill>
            <a:srgbClr val="6E503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02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03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04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05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06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07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08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09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10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11"/>
        <c:spPr>
          <a:solidFill>
            <a:srgbClr val="6E503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13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14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15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16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17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18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19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20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21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22"/>
        <c:spPr>
          <a:solidFill>
            <a:srgbClr val="6E503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24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25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26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27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28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29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30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31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32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33"/>
        <c:spPr>
          <a:solidFill>
            <a:srgbClr val="6E503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35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36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37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38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39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40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41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42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43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44"/>
        <c:spPr>
          <a:solidFill>
            <a:srgbClr val="6E503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46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47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48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49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50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51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52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53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54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55"/>
        <c:spPr>
          <a:solidFill>
            <a:srgbClr val="6E503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57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58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59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60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61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62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63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64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65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66"/>
        <c:spPr>
          <a:solidFill>
            <a:srgbClr val="6E503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68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69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70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71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72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73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74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75"/>
        <c:spPr>
          <a:solidFill>
            <a:srgbClr val="6E5034"/>
          </a:solidFill>
          <a:ln w="19050">
            <a:noFill/>
          </a:ln>
          <a:effectLst/>
        </c:spPr>
      </c:pivotFmt>
      <c:pivotFmt>
        <c:idx val="176"/>
        <c:spPr>
          <a:solidFill>
            <a:srgbClr val="6E5034"/>
          </a:solidFill>
          <a:ln w="19050"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Tabel'!$L$2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E5034"/>
            </a:solidFill>
            <a:ln w="1905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E503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79E-4D04-93A9-45E0D2D3A087}"/>
              </c:ext>
            </c:extLst>
          </c:dPt>
          <c:dPt>
            <c:idx val="1"/>
            <c:invertIfNegative val="0"/>
            <c:bubble3D val="0"/>
            <c:spPr>
              <a:solidFill>
                <a:srgbClr val="6E503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79E-4D04-93A9-45E0D2D3A087}"/>
              </c:ext>
            </c:extLst>
          </c:dPt>
          <c:dPt>
            <c:idx val="2"/>
            <c:invertIfNegative val="0"/>
            <c:bubble3D val="0"/>
            <c:spPr>
              <a:solidFill>
                <a:srgbClr val="6E503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79E-4D04-93A9-45E0D2D3A087}"/>
              </c:ext>
            </c:extLst>
          </c:dPt>
          <c:dPt>
            <c:idx val="3"/>
            <c:invertIfNegative val="0"/>
            <c:bubble3D val="0"/>
            <c:spPr>
              <a:solidFill>
                <a:srgbClr val="6E503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79E-4D04-93A9-45E0D2D3A087}"/>
              </c:ext>
            </c:extLst>
          </c:dPt>
          <c:dPt>
            <c:idx val="4"/>
            <c:invertIfNegative val="0"/>
            <c:bubble3D val="0"/>
            <c:spPr>
              <a:solidFill>
                <a:srgbClr val="6E503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79E-4D04-93A9-45E0D2D3A087}"/>
              </c:ext>
            </c:extLst>
          </c:dPt>
          <c:dPt>
            <c:idx val="5"/>
            <c:invertIfNegative val="0"/>
            <c:bubble3D val="0"/>
            <c:spPr>
              <a:solidFill>
                <a:srgbClr val="6E503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79E-4D04-93A9-45E0D2D3A087}"/>
              </c:ext>
            </c:extLst>
          </c:dPt>
          <c:dPt>
            <c:idx val="6"/>
            <c:invertIfNegative val="0"/>
            <c:bubble3D val="0"/>
            <c:spPr>
              <a:solidFill>
                <a:srgbClr val="6E503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79E-4D04-93A9-45E0D2D3A087}"/>
              </c:ext>
            </c:extLst>
          </c:dPt>
          <c:dPt>
            <c:idx val="7"/>
            <c:invertIfNegative val="0"/>
            <c:bubble3D val="0"/>
            <c:spPr>
              <a:solidFill>
                <a:srgbClr val="6E503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79E-4D04-93A9-45E0D2D3A087}"/>
              </c:ext>
            </c:extLst>
          </c:dPt>
          <c:dPt>
            <c:idx val="8"/>
            <c:invertIfNegative val="0"/>
            <c:bubble3D val="0"/>
            <c:spPr>
              <a:solidFill>
                <a:srgbClr val="6E503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79E-4D04-93A9-45E0D2D3A087}"/>
              </c:ext>
            </c:extLst>
          </c:dPt>
          <c:dPt>
            <c:idx val="9"/>
            <c:invertIfNegative val="0"/>
            <c:bubble3D val="0"/>
            <c:spPr>
              <a:solidFill>
                <a:srgbClr val="6E503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79E-4D04-93A9-45E0D2D3A0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Tabel'!$K$3:$K$13</c:f>
              <c:strCache>
                <c:ptCount val="10"/>
                <c:pt idx="0">
                  <c:v>Balikpapan</c:v>
                </c:pt>
                <c:pt idx="1">
                  <c:v>Bandung</c:v>
                </c:pt>
                <c:pt idx="2">
                  <c:v>Denpasar</c:v>
                </c:pt>
                <c:pt idx="3">
                  <c:v>Jakarta</c:v>
                </c:pt>
                <c:pt idx="4">
                  <c:v>Makassar</c:v>
                </c:pt>
                <c:pt idx="5">
                  <c:v>Medan</c:v>
                </c:pt>
                <c:pt idx="6">
                  <c:v>Pontianak</c:v>
                </c:pt>
                <c:pt idx="7">
                  <c:v>Semarang</c:v>
                </c:pt>
                <c:pt idx="8">
                  <c:v>Surabaya</c:v>
                </c:pt>
                <c:pt idx="9">
                  <c:v>Yogyakarta</c:v>
                </c:pt>
              </c:strCache>
            </c:strRef>
          </c:cat>
          <c:val>
            <c:numRef>
              <c:f>'Pivot Tabel'!$L$3:$L$13</c:f>
              <c:numCache>
                <c:formatCode>General</c:formatCode>
                <c:ptCount val="10"/>
                <c:pt idx="0">
                  <c:v>2400</c:v>
                </c:pt>
                <c:pt idx="1">
                  <c:v>11250</c:v>
                </c:pt>
                <c:pt idx="2">
                  <c:v>2450</c:v>
                </c:pt>
                <c:pt idx="3">
                  <c:v>2100</c:v>
                </c:pt>
                <c:pt idx="4">
                  <c:v>7450</c:v>
                </c:pt>
                <c:pt idx="5">
                  <c:v>6900</c:v>
                </c:pt>
                <c:pt idx="6">
                  <c:v>1500</c:v>
                </c:pt>
                <c:pt idx="7">
                  <c:v>3250</c:v>
                </c:pt>
                <c:pt idx="8">
                  <c:v>5500</c:v>
                </c:pt>
                <c:pt idx="9">
                  <c:v>12750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79E-4D04-93A9-45E0D2D3A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286422704"/>
        <c:axId val="1286396304"/>
      </c:barChart>
      <c:valAx>
        <c:axId val="128639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E503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422704"/>
        <c:crosses val="autoZero"/>
        <c:crossBetween val="between"/>
      </c:valAx>
      <c:catAx>
        <c:axId val="1286422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6E503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396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rgbClr val="6E503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Poppins" panose="00000800000000000000" pitchFamily="2" charset="0"/>
                <a:ea typeface="+mn-ea"/>
                <a:cs typeface="Poppins" panose="00000800000000000000" pitchFamily="2" charset="0"/>
              </a:defRPr>
            </a:pPr>
            <a:r>
              <a:rPr lang="en-ID" sz="16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On-Time</a:t>
            </a:r>
            <a:r>
              <a:rPr lang="en-ID" sz="1600" b="1" baseline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 Delivery Order</a:t>
            </a:r>
            <a:endParaRPr lang="en-ID" sz="1600" b="1">
              <a:solidFill>
                <a:schemeClr val="bg1"/>
              </a:solidFill>
              <a:latin typeface="Poppins" panose="00000800000000000000" pitchFamily="2" charset="0"/>
              <a:cs typeface="Poppins" panose="000008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Poppins" panose="00000800000000000000" pitchFamily="2" charset="0"/>
              <a:ea typeface="+mn-ea"/>
              <a:cs typeface="Poppins" panose="00000800000000000000" pitchFamily="2" charset="0"/>
            </a:defRPr>
          </a:pPr>
          <a:endParaRPr lang="en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5A385"/>
              </a:solidFill>
              <a:ln w="63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F0-4260-9081-F0AE4F6C5531}"/>
              </c:ext>
            </c:extLst>
          </c:dPt>
          <c:dPt>
            <c:idx val="1"/>
            <c:bubble3D val="0"/>
            <c:spPr>
              <a:solidFill>
                <a:srgbClr val="AC7D52"/>
              </a:solidFill>
              <a:ln w="63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F0-4260-9081-F0AE4F6C55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Tabel'!$N$16:$N$17</c:f>
              <c:strCache>
                <c:ptCount val="2"/>
                <c:pt idx="0">
                  <c:v>Tepat Waktu</c:v>
                </c:pt>
                <c:pt idx="1">
                  <c:v>Terlambar/Cancel</c:v>
                </c:pt>
              </c:strCache>
            </c:strRef>
          </c:cat>
          <c:val>
            <c:numRef>
              <c:f>'Pivot Tabel'!$O$16:$O$17</c:f>
              <c:numCache>
                <c:formatCode>0%</c:formatCode>
                <c:ptCount val="2"/>
                <c:pt idx="0">
                  <c:v>0.67924528301886788</c:v>
                </c:pt>
                <c:pt idx="1">
                  <c:v>0.32075471698113206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F0-4260-9081-F0AE4F6C5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6E5034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and Delivery Tracking System.xlsx]Pivot Tabel!PivotTable2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Poppins" panose="00000800000000000000" pitchFamily="2" charset="0"/>
                <a:ea typeface="+mn-ea"/>
                <a:cs typeface="Poppins" panose="00000800000000000000" pitchFamily="2" charset="0"/>
              </a:defRPr>
            </a:pPr>
            <a:r>
              <a:rPr lang="en-US" sz="16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Stok</a:t>
            </a:r>
            <a:r>
              <a:rPr lang="en-US" sz="1600" b="1" baseline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 Akhir Warehouse</a:t>
            </a:r>
            <a:endParaRPr lang="en-US" sz="1600" b="1">
              <a:solidFill>
                <a:schemeClr val="bg1"/>
              </a:solidFill>
              <a:latin typeface="Poppins" panose="00000800000000000000" pitchFamily="2" charset="0"/>
              <a:cs typeface="Poppins" panose="000008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Poppins" panose="00000800000000000000" pitchFamily="2" charset="0"/>
              <a:ea typeface="+mn-ea"/>
              <a:cs typeface="Poppins" panose="000008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bg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Tabel'!$C$2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5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BA7-4E0C-9E78-3EC5E7CF28A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5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BA7-4E0C-9E78-3EC5E7CF28A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5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BA7-4E0C-9E78-3EC5E7CF28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Tabel'!$B$3:$B$24</c:f>
              <c:strCache>
                <c:ptCount val="21"/>
                <c:pt idx="0">
                  <c:v>Enzim Baking</c:v>
                </c:pt>
                <c:pt idx="1">
                  <c:v>Pallet Kayu</c:v>
                </c:pt>
                <c:pt idx="2">
                  <c:v>Improver Tepung</c:v>
                </c:pt>
                <c:pt idx="3">
                  <c:v>Calcium Propionate</c:v>
                </c:pt>
                <c:pt idx="4">
                  <c:v>Tepung Premix</c:v>
                </c:pt>
                <c:pt idx="5">
                  <c:v>Vitamin Fortifikasi</c:v>
                </c:pt>
                <c:pt idx="6">
                  <c:v>Gandum Durum</c:v>
                </c:pt>
                <c:pt idx="7">
                  <c:v>Tepung Terigu Khusus Roti</c:v>
                </c:pt>
                <c:pt idx="8">
                  <c:v>Tepung Terigu Protein Tinggi</c:v>
                </c:pt>
                <c:pt idx="9">
                  <c:v>Label Produk</c:v>
                </c:pt>
                <c:pt idx="10">
                  <c:v>Germ Gandum</c:v>
                </c:pt>
                <c:pt idx="11">
                  <c:v>Tepung Terigu Protein Rendah</c:v>
                </c:pt>
                <c:pt idx="12">
                  <c:v>Gandum Soft Wheat</c:v>
                </c:pt>
                <c:pt idx="13">
                  <c:v>Bran Gandum</c:v>
                </c:pt>
                <c:pt idx="14">
                  <c:v>Tepung Terigu Serbaguna</c:v>
                </c:pt>
                <c:pt idx="15">
                  <c:v>Gandum Hard Wheat</c:v>
                </c:pt>
                <c:pt idx="16">
                  <c:v>Tepung Terigu Khusus Kue</c:v>
                </c:pt>
                <c:pt idx="17">
                  <c:v>Karung Kemasan 25 Kg</c:v>
                </c:pt>
                <c:pt idx="18">
                  <c:v>Plastik Kemasan 500 gr</c:v>
                </c:pt>
                <c:pt idx="19">
                  <c:v>Karton Box</c:v>
                </c:pt>
                <c:pt idx="20">
                  <c:v>Plastik Kemasan 1 Kg</c:v>
                </c:pt>
              </c:strCache>
            </c:strRef>
          </c:cat>
          <c:val>
            <c:numRef>
              <c:f>'Pivot Tabel'!$C$3:$C$24</c:f>
              <c:numCache>
                <c:formatCode>General</c:formatCode>
                <c:ptCount val="21"/>
                <c:pt idx="0">
                  <c:v>280</c:v>
                </c:pt>
                <c:pt idx="1">
                  <c:v>350</c:v>
                </c:pt>
                <c:pt idx="2">
                  <c:v>410</c:v>
                </c:pt>
                <c:pt idx="3">
                  <c:v>730</c:v>
                </c:pt>
                <c:pt idx="4">
                  <c:v>880</c:v>
                </c:pt>
                <c:pt idx="5">
                  <c:v>940</c:v>
                </c:pt>
                <c:pt idx="6">
                  <c:v>1640</c:v>
                </c:pt>
                <c:pt idx="7">
                  <c:v>1850</c:v>
                </c:pt>
                <c:pt idx="8">
                  <c:v>2100</c:v>
                </c:pt>
                <c:pt idx="9">
                  <c:v>2200</c:v>
                </c:pt>
                <c:pt idx="10">
                  <c:v>2410</c:v>
                </c:pt>
                <c:pt idx="11">
                  <c:v>2800</c:v>
                </c:pt>
                <c:pt idx="12">
                  <c:v>2800</c:v>
                </c:pt>
                <c:pt idx="13">
                  <c:v>2900</c:v>
                </c:pt>
                <c:pt idx="14">
                  <c:v>3100</c:v>
                </c:pt>
                <c:pt idx="15">
                  <c:v>3700</c:v>
                </c:pt>
                <c:pt idx="16">
                  <c:v>3750</c:v>
                </c:pt>
                <c:pt idx="17">
                  <c:v>5520</c:v>
                </c:pt>
                <c:pt idx="18">
                  <c:v>9350</c:v>
                </c:pt>
                <c:pt idx="19">
                  <c:v>14450</c:v>
                </c:pt>
                <c:pt idx="20">
                  <c:v>17100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A7-4E0C-9E78-3EC5E7CF2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286404464"/>
        <c:axId val="1286424624"/>
      </c:barChart>
      <c:catAx>
        <c:axId val="128640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424624"/>
        <c:crosses val="autoZero"/>
        <c:auto val="1"/>
        <c:lblAlgn val="ctr"/>
        <c:lblOffset val="100"/>
        <c:noMultiLvlLbl val="0"/>
      </c:catAx>
      <c:valAx>
        <c:axId val="128642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40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E5034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and Delivery Tracking System.xlsx]Pivot Tabel!PivotTable6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6E5034"/>
                </a:solidFill>
                <a:latin typeface="Poppins" panose="00000800000000000000" pitchFamily="2" charset="0"/>
                <a:ea typeface="+mn-ea"/>
                <a:cs typeface="Poppins" panose="00000800000000000000" pitchFamily="2" charset="0"/>
              </a:defRPr>
            </a:pPr>
            <a:r>
              <a:rPr lang="en-US" sz="1600" b="1">
                <a:solidFill>
                  <a:srgbClr val="6E5034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Armada Ekspdisi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6E5034"/>
              </a:solidFill>
              <a:latin typeface="Poppins" panose="00000800000000000000" pitchFamily="2" charset="0"/>
              <a:ea typeface="+mn-ea"/>
              <a:cs typeface="Poppins" panose="000008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rgbClr val="6E5034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rgbClr val="AC7D52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rgbClr val="C5A38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Tabel'!$O$2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E503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1F-4C20-BD47-DB9BD482CFFA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1F-4C20-BD47-DB9BD482CFFA}"/>
              </c:ext>
            </c:extLst>
          </c:dPt>
          <c:dPt>
            <c:idx val="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1F-4C20-BD47-DB9BD482CF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61F-4C20-BD47-DB9BD482CFFA}"/>
              </c:ext>
            </c:extLst>
          </c:dPt>
          <c:dPt>
            <c:idx val="4"/>
            <c:bubble3D val="0"/>
            <c:spPr>
              <a:solidFill>
                <a:srgbClr val="AC7D5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1F-4C20-BD47-DB9BD482CFFA}"/>
              </c:ext>
            </c:extLst>
          </c:dPt>
          <c:dPt>
            <c:idx val="5"/>
            <c:bubble3D val="0"/>
            <c:spPr>
              <a:solidFill>
                <a:srgbClr val="C5A38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61F-4C20-BD47-DB9BD482CF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Tabel'!$N$3:$N$9</c:f>
              <c:strCache>
                <c:ptCount val="6"/>
                <c:pt idx="0">
                  <c:v>Armada Perusahaan</c:v>
                </c:pt>
                <c:pt idx="1">
                  <c:v>J&amp;T</c:v>
                </c:pt>
                <c:pt idx="2">
                  <c:v>JNE</c:v>
                </c:pt>
                <c:pt idx="3">
                  <c:v>POS Indonesia</c:v>
                </c:pt>
                <c:pt idx="4">
                  <c:v>SiCepat</c:v>
                </c:pt>
                <c:pt idx="5">
                  <c:v>TIKI</c:v>
                </c:pt>
              </c:strCache>
            </c:strRef>
          </c:cat>
          <c:val>
            <c:numRef>
              <c:f>'Pivot Tabel'!$O$3:$O$9</c:f>
              <c:numCache>
                <c:formatCode>General</c:formatCode>
                <c:ptCount val="6"/>
                <c:pt idx="0">
                  <c:v>66</c:v>
                </c:pt>
                <c:pt idx="1">
                  <c:v>3</c:v>
                </c:pt>
                <c:pt idx="2">
                  <c:v>9</c:v>
                </c:pt>
                <c:pt idx="3">
                  <c:v>11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61F-4C20-BD47-DB9BD482C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6E5034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rgbClr val="6E503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428846</xdr:colOff>
      <xdr:row>23</xdr:row>
      <xdr:rowOff>75750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28C491A-2865-4DA7-A475-2EF23CF33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-1</xdr:rowOff>
    </xdr:from>
    <xdr:to>
      <xdr:col>32</xdr:col>
      <xdr:colOff>491250</xdr:colOff>
      <xdr:row>23</xdr:row>
      <xdr:rowOff>76114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9FF2277-F1CF-4F24-A6BE-5284D084A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8</xdr:col>
      <xdr:colOff>425500</xdr:colOff>
      <xdr:row>41</xdr:row>
      <xdr:rowOff>104143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75BB2E9E-6495-41A4-8311-820960F55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16</xdr:col>
      <xdr:colOff>425500</xdr:colOff>
      <xdr:row>41</xdr:row>
      <xdr:rowOff>104143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0568508-DD32-44A5-BC3B-7945B59D6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115460</xdr:colOff>
      <xdr:row>24</xdr:row>
      <xdr:rowOff>0</xdr:rowOff>
    </xdr:from>
    <xdr:to>
      <xdr:col>32</xdr:col>
      <xdr:colOff>540959</xdr:colOff>
      <xdr:row>41</xdr:row>
      <xdr:rowOff>104143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1D14A8B3-9696-405D-8A1A-18BE5A4AD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34649</xdr:colOff>
      <xdr:row>24</xdr:row>
      <xdr:rowOff>0</xdr:rowOff>
    </xdr:from>
    <xdr:to>
      <xdr:col>24</xdr:col>
      <xdr:colOff>455615</xdr:colOff>
      <xdr:row>41</xdr:row>
      <xdr:rowOff>104143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FA96AEC8-0F6E-4F35-A7CF-38866A8CC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90.624484837965" createdVersion="8" refreshedVersion="8" minRefreshableVersion="3" recordCount="21" xr:uid="{690B6D56-881F-40F0-B711-47E24A4B360B}">
  <cacheSource type="worksheet">
    <worksheetSource ref="M1:Q22" sheet="Master Data"/>
  </cacheSource>
  <cacheFields count="5">
    <cacheField name="Kode Barang" numFmtId="0">
      <sharedItems/>
    </cacheField>
    <cacheField name="Nama Barang" numFmtId="0">
      <sharedItems count="21">
        <s v="Gandum Hard Wheat"/>
        <s v="Gandum Soft Wheat"/>
        <s v="Gandum Durum"/>
        <s v="Bran Gandum"/>
        <s v="Germ Gandum"/>
        <s v="Enzim Baking"/>
        <s v="Vitamin Fortifikasi"/>
        <s v="Tepung Premix"/>
        <s v="Improver Tepung"/>
        <s v="Calcium Propionate"/>
        <s v="Karung Kemasan 25 Kg"/>
        <s v="Plastik Kemasan 1 Kg"/>
        <s v="Plastik Kemasan 500 gr"/>
        <s v="Karton Box"/>
        <s v="Label Produk"/>
        <s v="Pallet Kayu"/>
        <s v="Tepung Terigu Protein Tinggi"/>
        <s v="Tepung Terigu Serbaguna"/>
        <s v="Tepung Terigu Protein Rendah"/>
        <s v="Tepung Terigu Khusus Roti"/>
        <s v="Tepung Terigu Khusus Kue"/>
      </sharedItems>
    </cacheField>
    <cacheField name="Total Stok Awal" numFmtId="0">
      <sharedItems containsSemiMixedTypes="0" containsString="0" containsNumber="1" containsInteger="1" minValue="1380" maxValue="29000"/>
    </cacheField>
    <cacheField name="Total Stok Akhir" numFmtId="0">
      <sharedItems containsSemiMixedTypes="0" containsString="0" containsNumber="1" containsInteger="1" minValue="720" maxValue="14600"/>
    </cacheField>
    <cacheField name="Stok Akhir" numFmtId="0">
      <sharedItems containsSemiMixedTypes="0" containsString="0" containsNumber="1" containsInteger="1" minValue="280" maxValue="17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90.62572708333" createdVersion="8" refreshedVersion="8" minRefreshableVersion="3" recordCount="948" xr:uid="{9BF604BC-CDD5-40A2-97AD-0390F261A2D5}">
  <cacheSource type="worksheet">
    <worksheetSource ref="A1:K949" sheet="Master Data"/>
  </cacheSource>
  <cacheFields count="11">
    <cacheField name="Tanggal" numFmtId="14">
      <sharedItems containsSemiMixedTypes="0" containsNonDate="0" containsDate="1" containsString="0" minDate="2025-01-01T00:00:00" maxDate="2026-01-01T00:00:00"/>
    </cacheField>
    <cacheField name="Kode Barang" numFmtId="0">
      <sharedItems/>
    </cacheField>
    <cacheField name="Nama Barang" numFmtId="0">
      <sharedItems count="21">
        <s v="Tepung Terigu Protein Rendah"/>
        <s v="Tepung Terigu Khusus Roti"/>
        <s v="Tepung Terigu Khusus Kue"/>
        <s v="Karung Kemasan 25 Kg"/>
        <s v="Plastik Kemasan 1 Kg"/>
        <s v="Germ Gandum"/>
        <s v="Pallet Kayu"/>
        <s v="Calcium Propionate"/>
        <s v="Karton Box"/>
        <s v="Gandum Soft Wheat"/>
        <s v="Gandum Hard Wheat"/>
        <s v="Enzim Baking"/>
        <s v="Vitamin Fortifikasi"/>
        <s v="Tepung Premix"/>
        <s v="Improver Tepung"/>
        <s v="Tepung Terigu Protein Tinggi"/>
        <s v="Tepung Terigu Serbaguna"/>
        <s v="Gandum Durum"/>
        <s v="Label Produk"/>
        <s v="Bran Gandum"/>
        <s v="Plastik Kemasan 500 gr"/>
      </sharedItems>
    </cacheField>
    <cacheField name="Kategori" numFmtId="0">
      <sharedItems/>
    </cacheField>
    <cacheField name="Supllier" numFmtId="0">
      <sharedItems count="35">
        <s v="PT Agro Makmur"/>
        <s v="PT Pangan Jaya"/>
        <s v="PT Baker Indonesia"/>
        <s v="PT Kemasan Jaya"/>
        <s v="PT Plastik Nusantara"/>
        <s v="PT Sumber Pangan"/>
        <s v="PT Mega Flour"/>
        <s v="PT Plastik Sejahtera"/>
        <s v="PT Pallet Nusantara"/>
        <s v="PT Nutri Pangan"/>
        <s v="PT Karton Indonesia"/>
        <s v="PT Pangan Nusantara"/>
        <s v="PT Plastik Indo"/>
        <s v="PT Bio Enzim Nusantara"/>
        <s v="PT Nutri Indo"/>
        <s v="PT Distributor A"/>
        <s v="PT Labelindo"/>
        <s v="PT Kayu Abadi"/>
        <s v="PT Food Additive Indonesia"/>
        <s v="PT Indo Additive"/>
        <s v="PT Distributor B"/>
        <s v="PT Karton Nusantara"/>
        <s v="PT Food Ingredient"/>
        <s v="PT Bio Enzim"/>
        <s v="PT Distributor C"/>
        <s v="PT Karton Jaya"/>
        <s v="PT Enzim Global"/>
        <s v="PT FoodChem Indonesia"/>
        <s v="PT Sumber Bumi"/>
        <s v="PT Forti Pangan"/>
        <s v="PT Label Makmur"/>
        <s v="PT Baking Solution"/>
        <s v="PT Kayu Mandiri"/>
        <s v="PT Packaging Indo"/>
        <s v="PT Label Indo Jaya"/>
      </sharedItems>
    </cacheField>
    <cacheField name="Barang Masuk" numFmtId="0">
      <sharedItems containsSemiMixedTypes="0" containsString="0" containsNumber="1" containsInteger="1" minValue="0" maxValue="1200"/>
    </cacheField>
    <cacheField name="Barang Keluar" numFmtId="0">
      <sharedItems containsSemiMixedTypes="0" containsString="0" containsNumber="1" containsInteger="1" minValue="0" maxValue="900"/>
    </cacheField>
    <cacheField name="Stok Awal" numFmtId="0">
      <sharedItems containsSemiMixedTypes="0" containsString="0" containsNumber="1" containsInteger="1" minValue="100" maxValue="17600"/>
    </cacheField>
    <cacheField name="Stok Akhir" numFmtId="0">
      <sharedItems containsSemiMixedTypes="0" containsString="0" containsNumber="1" containsInteger="1" minValue="120" maxValue="17600"/>
    </cacheField>
    <cacheField name="Satuan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90.646374652781" createdVersion="8" refreshedVersion="8" minRefreshableVersion="3" recordCount="106" xr:uid="{72C2EB5E-4B96-4D78-B304-E0F67C2CBAA1}">
  <cacheSource type="worksheet">
    <worksheetSource ref="A1:O107" sheet="Tracking Distribusi Barang"/>
  </cacheSource>
  <cacheFields count="17">
    <cacheField name="Tanggal" numFmtId="14">
      <sharedItems containsSemiMixedTypes="0" containsNonDate="0" containsDate="1" containsString="0" minDate="2025-01-02T00:00:00" maxDate="2025-12-29T00:00:00" count="86">
        <d v="2025-01-02T00:00:00"/>
        <d v="2025-01-05T00:00:00"/>
        <d v="2025-01-08T00:00:00"/>
        <d v="2025-01-11T00:00:00"/>
        <d v="2025-01-12T00:00:00"/>
        <d v="2025-01-27T00:00:00"/>
        <d v="2025-02-05T00:00:00"/>
        <d v="2025-02-11T00:00:00"/>
        <d v="2025-02-14T00:00:00"/>
        <d v="2025-02-15T00:00:00"/>
        <d v="2025-02-18T00:00:00"/>
        <d v="2025-02-20T00:00:00"/>
        <d v="2025-02-24T00:00:00"/>
        <d v="2025-03-09T00:00:00"/>
        <d v="2025-03-12T00:00:00"/>
        <d v="2025-03-14T00:00:00"/>
        <d v="2025-03-18T00:00:00"/>
        <d v="2025-03-23T00:00:00"/>
        <d v="2025-03-26T00:00:00"/>
        <d v="2025-03-29T00:00:00"/>
        <d v="2025-03-30T00:00:00"/>
        <d v="2025-04-01T00:00:00"/>
        <d v="2025-04-04T00:00:00"/>
        <d v="2025-04-07T00:00:00"/>
        <d v="2025-04-09T00:00:00"/>
        <d v="2025-04-10T00:00:00"/>
        <d v="2025-04-13T00:00:00"/>
        <d v="2025-04-17T00:00:00"/>
        <d v="2025-04-21T00:00:00"/>
        <d v="2025-04-24T00:00:00"/>
        <d v="2025-04-28T00:00:00"/>
        <d v="2025-05-13T00:00:00"/>
        <d v="2025-05-16T00:00:00"/>
        <d v="2025-05-19T00:00:00"/>
        <d v="2025-05-20T00:00:00"/>
        <d v="2025-05-21T00:00:00"/>
        <d v="2025-05-27T00:00:00"/>
        <d v="2025-05-29T00:00:00"/>
        <d v="2025-05-30T00:00:00"/>
        <d v="2025-06-12T00:00:00"/>
        <d v="2025-06-14T00:00:00"/>
        <d v="2025-06-24T00:00:00"/>
        <d v="2025-06-25T00:00:00"/>
        <d v="2025-06-26T00:00:00"/>
        <d v="2025-06-27T00:00:00"/>
        <d v="2025-06-29T00:00:00"/>
        <d v="2025-06-30T00:00:00"/>
        <d v="2025-07-02T00:00:00"/>
        <d v="2025-07-05T00:00:00"/>
        <d v="2025-07-06T00:00:00"/>
        <d v="2025-07-10T00:00:00"/>
        <d v="2025-07-12T00:00:00"/>
        <d v="2025-07-26T00:00:00"/>
        <d v="2025-07-28T00:00:00"/>
        <d v="2025-08-09T00:00:00"/>
        <d v="2025-08-10T00:00:00"/>
        <d v="2025-08-11T00:00:00"/>
        <d v="2025-08-12T00:00:00"/>
        <d v="2025-08-26T00:00:00"/>
        <d v="2025-08-28T00:00:00"/>
        <d v="2025-09-01T00:00:00"/>
        <d v="2025-09-10T00:00:00"/>
        <d v="2025-09-13T00:00:00"/>
        <d v="2025-09-15T00:00:00"/>
        <d v="2025-09-16T00:00:00"/>
        <d v="2025-09-25T00:00:00"/>
        <d v="2025-09-30T00:00:00"/>
        <d v="2025-10-09T00:00:00"/>
        <d v="2025-10-11T00:00:00"/>
        <d v="2025-10-19T00:00:00"/>
        <d v="2025-10-23T00:00:00"/>
        <d v="2025-10-24T00:00:00"/>
        <d v="2025-10-27T00:00:00"/>
        <d v="2025-11-03T00:00:00"/>
        <d v="2025-11-12T00:00:00"/>
        <d v="2025-11-26T00:00:00"/>
        <d v="2025-11-28T00:00:00"/>
        <d v="2025-11-29T00:00:00"/>
        <d v="2025-12-01T00:00:00"/>
        <d v="2025-12-05T00:00:00"/>
        <d v="2025-12-08T00:00:00"/>
        <d v="2025-12-11T00:00:00"/>
        <d v="2025-12-12T00:00:00"/>
        <d v="2025-12-15T00:00:00"/>
        <d v="2025-12-27T00:00:00"/>
        <d v="2025-12-28T00:00:00"/>
      </sharedItems>
      <fieldGroup par="16"/>
    </cacheField>
    <cacheField name="No Delivery Order" numFmtId="0">
      <sharedItems/>
    </cacheField>
    <cacheField name="Kode Barang" numFmtId="0">
      <sharedItems/>
    </cacheField>
    <cacheField name="Nama Barang" numFmtId="0">
      <sharedItems count="5">
        <s v="Tepung Terigu Protein Rendah"/>
        <s v="Tepung Terigu Khusus Roti"/>
        <s v="Tepung Terigu Khusus Kue"/>
        <s v="Tepung Terigu Protein Tinggi"/>
        <s v="Tepung Terigu Serbaguna"/>
      </sharedItems>
    </cacheField>
    <cacheField name="Customer" numFmtId="0">
      <sharedItems count="100">
        <s v="PT Martinez-Murray"/>
        <s v="PT Brown Group"/>
        <s v="PT Roman, Johnson and Wright"/>
        <s v="PT Hatfield-Pearson"/>
        <s v="PT Graves LLC"/>
        <s v="PT Salas-Hodges"/>
        <s v="PT Woodard Ltd"/>
        <s v="PT White, Hill and Pruitt"/>
        <s v="PT Mckinney, Johnson and Campbell"/>
        <s v="PT Bailey-Jimenez"/>
        <s v="PT Sanchez-Brown"/>
        <s v="PT Johnson-Moreno"/>
        <s v="PT Hamilton Ltd"/>
        <s v="PT Davis-Huynh"/>
        <s v="PT Taylor-Tran"/>
        <s v="PT Barber-Cook"/>
        <s v="PT Webb, Miller and Roth"/>
        <s v="PT Williams, Oneill and Brown"/>
        <s v="PT Nielsen, Contreras and Miller"/>
        <s v="PT Schwartz LLC"/>
        <s v="PT Tucker PLC"/>
        <s v="PT Carroll, Nguyen and Nguyen"/>
        <s v="PT Hall, Johnson and Gomez"/>
        <s v="PT Brock-Rosario"/>
        <s v="PT Hunt PLC"/>
        <s v="PT Cline Group"/>
        <s v="PT Gutierrez Ltd"/>
        <s v="PT Myers-Garcia"/>
        <s v="PT Logan Group"/>
        <s v="PT Gibson-Webb"/>
        <s v="PT Watkins, Day and Wolf"/>
        <s v="PT Lin-Escobar"/>
        <s v="PT Lawrence-Burke"/>
        <s v="PT Munoz-Wilcox"/>
        <s v="PT Russo Inc"/>
        <s v="PT Beard, Johnson and Walsh"/>
        <s v="PT Jordan Inc"/>
        <s v="PT Hill-Baker"/>
        <s v="PT Parker, Flores and Jones"/>
        <s v="PT Williams, Miller and Ali"/>
        <s v="PT Davis Ltd"/>
        <s v="PT Russell LLC"/>
        <s v="PT Reyes, Adams and Ross"/>
        <s v="PT Duncan Group"/>
        <s v="PT David-Smith"/>
        <s v="PT Turner, Moreno and Johnson"/>
        <s v="PT Velasquez PLC"/>
        <s v="PT Wiley Inc"/>
        <s v="PT Dawson-Freeman"/>
        <s v="PT Mendoza-White"/>
        <s v="PT Stevens, Velasquez and Hubbard"/>
        <s v="PT Smith-Gray"/>
        <s v="PT Patton, Black and Munoz"/>
        <s v="PT Dennis Inc"/>
        <s v="PT Hall, Green and Collins"/>
        <s v="PT Walter, Hughes and Anderson"/>
        <s v="PT Roth PLC"/>
        <s v="PT Cummings-Stevens"/>
        <s v="PT Cross PLC"/>
        <s v="PT Kelly LLC"/>
        <s v="PT Conley-Davis"/>
        <s v="PT Byrd Inc"/>
        <s v="PT Richards-Richards"/>
        <s v="PT Moore-Smith"/>
        <s v="PT Dorsey and Sons"/>
        <s v="PT Ferrell, Hughes and Reed"/>
        <s v="PT Gutierrez-Olson"/>
        <s v="PT Gay, Meza and Jackson"/>
        <s v="PT Hurley-Henry"/>
        <s v="PT Evans-Floyd"/>
        <s v="PT Cervantes-Estrada"/>
        <s v="PT Thompson, Young and Smith"/>
        <s v="PT Hopkins, Hudson and Larson"/>
        <s v="PT Johnson-Chandler"/>
        <s v="PT Schroeder Ltd"/>
        <s v="PT Pierce PLC"/>
        <s v="PT Hall Group"/>
        <s v="PT Robinson, Hall and Fields"/>
        <s v="PT Fernandez-Freeman"/>
        <s v="PT Archer-Cortez"/>
        <s v="PT Jones LLC"/>
        <s v="PT Castillo, Morales and Lang"/>
        <s v="PT Murphy, Mckenzie and Davis"/>
        <s v="PT Cruz Ltd"/>
        <s v="PT Jordan-Brown"/>
        <s v="PT Tanner, Lawrence and Peters"/>
        <s v="PT Brown, Howard and Robbins"/>
        <s v="PT Welch-Cochran"/>
        <s v="PT Johnson LLC"/>
        <s v="PT Hogan, Mathis and Williams"/>
        <s v="PT Davis-Walter"/>
        <s v="PT Page, Harvey and Nguyen"/>
        <s v="PT Johnson-Norman"/>
        <s v="PT Richardson, Shaw and Jackson"/>
        <s v="PT Smith and Sons"/>
        <s v="PT Harper Ltd"/>
        <s v="PT Williams, Vazquez and Williams"/>
        <s v="PT Williamson-King"/>
        <s v="PT Carr Group"/>
        <s v="PT Peterson-Arnold"/>
      </sharedItems>
    </cacheField>
    <cacheField name="Kota Tujuan" numFmtId="0">
      <sharedItems count="10">
        <s v="Balikpapan"/>
        <s v="Surabaya"/>
        <s v="Bandung"/>
        <s v="Yogyakarta"/>
        <s v="Medan"/>
        <s v="Denpasar"/>
        <s v="Jakarta"/>
        <s v="Makassar"/>
        <s v="Pontianak"/>
        <s v="Semarang"/>
      </sharedItems>
    </cacheField>
    <cacheField name="Barang Keluar" numFmtId="0">
      <sharedItems containsSemiMixedTypes="0" containsString="0" containsNumber="1" containsInteger="1" minValue="300" maxValue="900"/>
    </cacheField>
    <cacheField name="Satuan" numFmtId="0">
      <sharedItems/>
    </cacheField>
    <cacheField name="Ekspedisi" numFmtId="0">
      <sharedItems count="6">
        <s v="J&amp;T"/>
        <s v="Armada Perusahaan"/>
        <s v="POS Indonesia"/>
        <s v="SiCepat"/>
        <s v="TIKI"/>
        <s v="JNE"/>
      </sharedItems>
    </cacheField>
    <cacheField name="No. Resi" numFmtId="0">
      <sharedItems/>
    </cacheField>
    <cacheField name="Plat Nomer" numFmtId="0">
      <sharedItems/>
    </cacheField>
    <cacheField name="Status" numFmtId="0">
      <sharedItems/>
    </cacheField>
    <cacheField name="Tanggal Diterima" numFmtId="0">
      <sharedItems containsDate="1" containsMixedTypes="1" minDate="2025-01-03T00:00:00" maxDate="2026-01-01T00:00:00"/>
    </cacheField>
    <cacheField name="Lead Time" numFmtId="0">
      <sharedItems containsMixedTypes="1" containsNumber="1" containsInteger="1" minValue="1" maxValue="20"/>
    </cacheField>
    <cacheField name="Keterlambatan" numFmtId="0">
      <sharedItems count="2">
        <s v="Tepat Waktu"/>
        <s v="Terlambat/Cancel"/>
      </sharedItems>
    </cacheField>
    <cacheField name="Days (Tanggal)" numFmtId="0" databaseField="0">
      <fieldGroup base="0">
        <rangePr groupBy="days" startDate="2025-01-02T00:00:00" endDate="2025-12-29T00:00:00"/>
        <groupItems count="368">
          <s v="&lt;02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/12/2025"/>
        </groupItems>
      </fieldGroup>
    </cacheField>
    <cacheField name="Months (Tanggal)" numFmtId="0" databaseField="0">
      <fieldGroup base="0">
        <rangePr groupBy="months" startDate="2025-01-02T00:00:00" endDate="2025-12-29T00:00:00"/>
        <groupItems count="14">
          <s v="&lt;02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RM001"/>
    <x v="0"/>
    <n v="13950"/>
    <n v="10250"/>
    <n v="3700"/>
  </r>
  <r>
    <s v="RM002"/>
    <x v="1"/>
    <n v="10500"/>
    <n v="7700"/>
    <n v="2800"/>
  </r>
  <r>
    <s v="RM003"/>
    <x v="2"/>
    <n v="8190"/>
    <n v="6550"/>
    <n v="1640"/>
  </r>
  <r>
    <s v="RM004"/>
    <x v="3"/>
    <n v="9300"/>
    <n v="6400"/>
    <n v="2900"/>
  </r>
  <r>
    <s v="RM005"/>
    <x v="4"/>
    <n v="7060"/>
    <n v="4650"/>
    <n v="2410"/>
  </r>
  <r>
    <s v="AD001"/>
    <x v="5"/>
    <n v="2685"/>
    <n v="2405"/>
    <n v="280"/>
  </r>
  <r>
    <s v="AD002"/>
    <x v="6"/>
    <n v="3140"/>
    <n v="2200"/>
    <n v="940"/>
  </r>
  <r>
    <s v="AD003"/>
    <x v="7"/>
    <n v="5070"/>
    <n v="4190"/>
    <n v="880"/>
  </r>
  <r>
    <s v="AD004"/>
    <x v="8"/>
    <n v="3730"/>
    <n v="3320"/>
    <n v="410"/>
  </r>
  <r>
    <s v="AD005"/>
    <x v="9"/>
    <n v="1450"/>
    <n v="720"/>
    <n v="730"/>
  </r>
  <r>
    <s v="PK001"/>
    <x v="10"/>
    <n v="10850"/>
    <n v="5330"/>
    <n v="5520"/>
  </r>
  <r>
    <s v="PK002"/>
    <x v="11"/>
    <n v="29000"/>
    <n v="11900"/>
    <n v="17100"/>
  </r>
  <r>
    <s v="PK003"/>
    <x v="12"/>
    <n v="12700"/>
    <n v="3350"/>
    <n v="9350"/>
  </r>
  <r>
    <s v="PK004"/>
    <x v="13"/>
    <n v="26200"/>
    <n v="11750"/>
    <n v="14450"/>
  </r>
  <r>
    <s v="PK005"/>
    <x v="14"/>
    <n v="11800"/>
    <n v="9600"/>
    <n v="2200"/>
  </r>
  <r>
    <s v="PK006"/>
    <x v="15"/>
    <n v="1380"/>
    <n v="1030"/>
    <n v="350"/>
  </r>
  <r>
    <s v="FG001"/>
    <x v="16"/>
    <n v="15700"/>
    <n v="13600"/>
    <n v="2100"/>
  </r>
  <r>
    <s v="FG002"/>
    <x v="17"/>
    <n v="17700"/>
    <n v="14600"/>
    <n v="3100"/>
  </r>
  <r>
    <s v="FG003"/>
    <x v="18"/>
    <n v="15400"/>
    <n v="12600"/>
    <n v="2800"/>
  </r>
  <r>
    <s v="FG004"/>
    <x v="19"/>
    <n v="5750"/>
    <n v="3900"/>
    <n v="1850"/>
  </r>
  <r>
    <s v="FG005"/>
    <x v="20"/>
    <n v="14600"/>
    <n v="10850"/>
    <n v="37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8">
  <r>
    <d v="2025-01-01T00:00:00"/>
    <s v="FG003"/>
    <x v="0"/>
    <s v="Produk"/>
    <x v="0"/>
    <n v="500"/>
    <n v="0"/>
    <n v="1000"/>
    <n v="1500"/>
    <s v="Pcs"/>
    <s v="Hasil Produksi"/>
  </r>
  <r>
    <d v="2025-01-01T00:00:00"/>
    <s v="FG004"/>
    <x v="1"/>
    <s v="Produk"/>
    <x v="1"/>
    <n v="500"/>
    <n v="0"/>
    <n v="1000"/>
    <n v="1500"/>
    <s v="Pcs"/>
    <s v="Hasil Produksi"/>
  </r>
  <r>
    <d v="2025-01-01T00:00:00"/>
    <s v="FG005"/>
    <x v="2"/>
    <s v="Produk"/>
    <x v="2"/>
    <n v="500"/>
    <n v="0"/>
    <n v="1000"/>
    <n v="1500"/>
    <s v="Pcs"/>
    <s v="Hasil Produksi"/>
  </r>
  <r>
    <d v="2025-01-01T00:00:00"/>
    <s v="PK001"/>
    <x v="3"/>
    <s v="Kemasan"/>
    <x v="3"/>
    <n v="500"/>
    <n v="0"/>
    <n v="1000"/>
    <n v="1500"/>
    <s v="Pcs"/>
    <s v="Restock Kemasan"/>
  </r>
  <r>
    <d v="2025-01-01T00:00:00"/>
    <s v="PK002"/>
    <x v="4"/>
    <s v="Kemasan"/>
    <x v="4"/>
    <n v="1000"/>
    <n v="0"/>
    <n v="5000"/>
    <n v="6000"/>
    <s v="Pcs"/>
    <s v="Restock Kemasan"/>
  </r>
  <r>
    <d v="2025-01-01T00:00:00"/>
    <s v="RM005"/>
    <x v="5"/>
    <s v="Bahan Baku"/>
    <x v="0"/>
    <n v="300"/>
    <n v="0"/>
    <n v="500"/>
    <n v="800"/>
    <s v="Kg"/>
    <s v="Restock Bahan Baku"/>
  </r>
  <r>
    <d v="2025-01-02T00:00:00"/>
    <s v="FG003"/>
    <x v="0"/>
    <s v="Produk"/>
    <x v="5"/>
    <n v="0"/>
    <n v="400"/>
    <n v="1500"/>
    <n v="1100"/>
    <s v="Pcs"/>
    <s v="Distribusi ke Customer"/>
  </r>
  <r>
    <d v="2025-01-02T00:00:00"/>
    <s v="FG004"/>
    <x v="1"/>
    <s v="Produk"/>
    <x v="5"/>
    <n v="0"/>
    <n v="400"/>
    <n v="1500"/>
    <n v="1100"/>
    <s v="Pcs"/>
    <s v="Distribusi ke Customer"/>
  </r>
  <r>
    <d v="2025-01-02T00:00:00"/>
    <s v="FG005"/>
    <x v="2"/>
    <s v="Produk"/>
    <x v="6"/>
    <n v="0"/>
    <n v="300"/>
    <n v="1500"/>
    <n v="1200"/>
    <s v="Pcs"/>
    <s v="Distribusi ke Customer"/>
  </r>
  <r>
    <d v="2025-01-02T00:00:00"/>
    <s v="PK002"/>
    <x v="4"/>
    <s v="Kemasan"/>
    <x v="7"/>
    <n v="0"/>
    <n v="300"/>
    <n v="6000"/>
    <n v="5700"/>
    <s v="Pcs"/>
    <s v="Digunakan Packaging"/>
  </r>
  <r>
    <d v="2025-01-02T00:00:00"/>
    <s v="PK006"/>
    <x v="6"/>
    <s v="Kemasan"/>
    <x v="8"/>
    <n v="50"/>
    <n v="0"/>
    <n v="100"/>
    <n v="150"/>
    <s v="Pcs"/>
    <s v="Restock Kemasan"/>
  </r>
  <r>
    <d v="2025-01-03T00:00:00"/>
    <s v="AD005"/>
    <x v="7"/>
    <s v="Bahan Tambahan"/>
    <x v="9"/>
    <n v="50"/>
    <n v="0"/>
    <n v="200"/>
    <n v="250"/>
    <s v="Kg"/>
    <s v="Restock Bahan Tambahan"/>
  </r>
  <r>
    <d v="2025-01-03T00:00:00"/>
    <s v="FG005"/>
    <x v="2"/>
    <s v="Produk"/>
    <x v="5"/>
    <n v="600"/>
    <n v="0"/>
    <n v="1200"/>
    <n v="1800"/>
    <s v="Pcs"/>
    <s v="Hasil Produksi"/>
  </r>
  <r>
    <d v="2025-01-03T00:00:00"/>
    <s v="PK001"/>
    <x v="3"/>
    <s v="Kemasan"/>
    <x v="4"/>
    <n v="0"/>
    <n v="200"/>
    <n v="1500"/>
    <n v="1300"/>
    <s v="Pcs"/>
    <s v="Digunakan Packaging"/>
  </r>
  <r>
    <d v="2025-01-03T00:00:00"/>
    <s v="PK004"/>
    <x v="8"/>
    <s v="Kemasan"/>
    <x v="10"/>
    <n v="1000"/>
    <n v="0"/>
    <n v="5000"/>
    <n v="6000"/>
    <s v="Pcs"/>
    <s v="Restock Kemasan"/>
  </r>
  <r>
    <d v="2025-01-03T00:00:00"/>
    <s v="RM002"/>
    <x v="9"/>
    <s v="Bahan Baku"/>
    <x v="11"/>
    <n v="500"/>
    <n v="0"/>
    <n v="1000"/>
    <n v="1500"/>
    <s v="Kg"/>
    <s v="Restock Bahan Baku"/>
  </r>
  <r>
    <d v="2025-01-04T00:00:00"/>
    <s v="FG003"/>
    <x v="0"/>
    <s v="Produk"/>
    <x v="1"/>
    <n v="600"/>
    <n v="0"/>
    <n v="1100"/>
    <n v="1700"/>
    <s v="Pcs"/>
    <s v="Hasil Produksi"/>
  </r>
  <r>
    <d v="2025-01-04T00:00:00"/>
    <s v="FG004"/>
    <x v="1"/>
    <s v="Produk"/>
    <x v="0"/>
    <n v="600"/>
    <n v="0"/>
    <n v="1100"/>
    <n v="1700"/>
    <s v="Pcs"/>
    <s v="Hasil Produksi"/>
  </r>
  <r>
    <d v="2025-01-04T00:00:00"/>
    <s v="PK002"/>
    <x v="4"/>
    <s v="Kemasan"/>
    <x v="12"/>
    <n v="1200"/>
    <n v="0"/>
    <n v="5700"/>
    <n v="6900"/>
    <s v="Pcs"/>
    <s v="Restock Kemasan"/>
  </r>
  <r>
    <d v="2025-01-04T00:00:00"/>
    <s v="RM001"/>
    <x v="10"/>
    <s v="Bahan Baku"/>
    <x v="5"/>
    <n v="500"/>
    <n v="0"/>
    <n v="1000"/>
    <n v="1500"/>
    <s v="Kg"/>
    <s v="Restock Bahan Baku"/>
  </r>
  <r>
    <d v="2025-01-05T00:00:00"/>
    <s v="AD001"/>
    <x v="11"/>
    <s v="Bahan Tambahan"/>
    <x v="13"/>
    <n v="120"/>
    <n v="0"/>
    <n v="200"/>
    <n v="320"/>
    <s v="Kg"/>
    <s v="Restock Bahan Tambahan"/>
  </r>
  <r>
    <d v="2025-01-05T00:00:00"/>
    <s v="AD002"/>
    <x v="12"/>
    <s v="Bahan Tambahan"/>
    <x v="14"/>
    <n v="120"/>
    <n v="0"/>
    <n v="200"/>
    <n v="320"/>
    <s v="Kg"/>
    <s v="Restock Bahan Tambahan"/>
  </r>
  <r>
    <d v="2025-01-05T00:00:00"/>
    <s v="AD003"/>
    <x v="13"/>
    <s v="Bahan Tambahan"/>
    <x v="1"/>
    <n v="200"/>
    <n v="0"/>
    <n v="500"/>
    <n v="700"/>
    <s v="Kg"/>
    <s v="Restock Bahan Tambahan"/>
  </r>
  <r>
    <d v="2025-01-05T00:00:00"/>
    <s v="AD004"/>
    <x v="14"/>
    <s v="Bahan Tambahan"/>
    <x v="9"/>
    <n v="120"/>
    <n v="0"/>
    <n v="200"/>
    <n v="320"/>
    <s v="Kg"/>
    <s v="Restock Bahan Tambahan"/>
  </r>
  <r>
    <d v="2025-01-05T00:00:00"/>
    <s v="FG001"/>
    <x v="15"/>
    <s v="Produk"/>
    <x v="15"/>
    <n v="600"/>
    <n v="0"/>
    <n v="300"/>
    <n v="900"/>
    <s v="Pcs"/>
    <s v="Hasil Produksi"/>
  </r>
  <r>
    <d v="2025-01-05T00:00:00"/>
    <s v="FG002"/>
    <x v="16"/>
    <s v="Produk"/>
    <x v="1"/>
    <n v="500"/>
    <n v="0"/>
    <n v="300"/>
    <n v="800"/>
    <s v="Pcs"/>
    <s v="Hasil Produksi"/>
  </r>
  <r>
    <d v="2025-01-05T00:00:00"/>
    <s v="FG003"/>
    <x v="0"/>
    <s v="Produk"/>
    <x v="0"/>
    <n v="0"/>
    <n v="500"/>
    <n v="1700"/>
    <n v="1200"/>
    <s v="Pcs"/>
    <s v="Distribusi ke Customer"/>
  </r>
  <r>
    <d v="2025-01-05T00:00:00"/>
    <s v="FG005"/>
    <x v="2"/>
    <s v="Produk"/>
    <x v="2"/>
    <n v="0"/>
    <n v="400"/>
    <n v="1800"/>
    <n v="1400"/>
    <s v="Pcs"/>
    <s v="Distribusi ke Customer"/>
  </r>
  <r>
    <d v="2025-01-05T00:00:00"/>
    <s v="PK001"/>
    <x v="3"/>
    <s v="Kemasan"/>
    <x v="10"/>
    <n v="300"/>
    <n v="0"/>
    <n v="1300"/>
    <n v="1600"/>
    <s v="Pcs"/>
    <s v="Restock Kemasan"/>
  </r>
  <r>
    <d v="2025-01-05T00:00:00"/>
    <s v="RM003"/>
    <x v="17"/>
    <s v="Bahan Baku"/>
    <x v="5"/>
    <n v="400"/>
    <n v="0"/>
    <n v="1000"/>
    <n v="1400"/>
    <s v="Kg"/>
    <s v="Restock Bahan Baku"/>
  </r>
  <r>
    <d v="2025-01-06T00:00:00"/>
    <s v="PK002"/>
    <x v="4"/>
    <s v="Kemasan"/>
    <x v="4"/>
    <n v="0"/>
    <n v="400"/>
    <n v="6900"/>
    <n v="6500"/>
    <s v="Pcs"/>
    <s v="Digunakan Packaging"/>
  </r>
  <r>
    <d v="2025-01-06T00:00:00"/>
    <s v="PK005"/>
    <x v="18"/>
    <s v="Kemasan"/>
    <x v="16"/>
    <n v="500"/>
    <n v="0"/>
    <n v="1000"/>
    <n v="1500"/>
    <s v="Pcs"/>
    <s v="Restock Kemasan"/>
  </r>
  <r>
    <d v="2025-01-07T00:00:00"/>
    <s v="FG003"/>
    <x v="0"/>
    <s v="Produk"/>
    <x v="5"/>
    <n v="400"/>
    <n v="0"/>
    <n v="1200"/>
    <n v="1600"/>
    <s v="Pcs"/>
    <s v="Hasil Produksi"/>
  </r>
  <r>
    <d v="2025-01-07T00:00:00"/>
    <s v="FG005"/>
    <x v="2"/>
    <s v="Produk"/>
    <x v="6"/>
    <n v="550"/>
    <n v="0"/>
    <n v="1400"/>
    <n v="1950"/>
    <s v="Pcs"/>
    <s v="Hasil Produksi"/>
  </r>
  <r>
    <d v="2025-01-07T00:00:00"/>
    <s v="PK001"/>
    <x v="3"/>
    <s v="Kemasan"/>
    <x v="3"/>
    <n v="0"/>
    <n v="150"/>
    <n v="1600"/>
    <n v="1450"/>
    <s v="Pcs"/>
    <s v="Digunakan Packaging"/>
  </r>
  <r>
    <d v="2025-01-07T00:00:00"/>
    <s v="RM004"/>
    <x v="19"/>
    <s v="Bahan Baku"/>
    <x v="0"/>
    <n v="400"/>
    <n v="0"/>
    <n v="500"/>
    <n v="900"/>
    <s v="Kg"/>
    <s v="Restock Bahan Baku"/>
  </r>
  <r>
    <d v="2025-01-08T00:00:00"/>
    <s v="FG003"/>
    <x v="0"/>
    <s v="Produk"/>
    <x v="1"/>
    <n v="0"/>
    <n v="350"/>
    <n v="1600"/>
    <n v="1250"/>
    <s v="Pcs"/>
    <s v="Distribusi ke Customer"/>
  </r>
  <r>
    <d v="2025-01-08T00:00:00"/>
    <s v="FG005"/>
    <x v="2"/>
    <s v="Produk"/>
    <x v="5"/>
    <n v="0"/>
    <n v="350"/>
    <n v="1950"/>
    <n v="1600"/>
    <s v="Pcs"/>
    <s v="Distribusi ke Customer"/>
  </r>
  <r>
    <d v="2025-01-08T00:00:00"/>
    <s v="PK002"/>
    <x v="4"/>
    <s v="Kemasan"/>
    <x v="7"/>
    <n v="800"/>
    <n v="0"/>
    <n v="6500"/>
    <n v="7300"/>
    <s v="Pcs"/>
    <s v="Restock Kemasan"/>
  </r>
  <r>
    <d v="2025-01-09T00:00:00"/>
    <s v="PK001"/>
    <x v="3"/>
    <s v="Kemasan"/>
    <x v="3"/>
    <n v="400"/>
    <n v="0"/>
    <n v="1450"/>
    <n v="1850"/>
    <s v="Pcs"/>
    <s v="Restock Kemasan"/>
  </r>
  <r>
    <d v="2025-01-09T00:00:00"/>
    <s v="RM002"/>
    <x v="9"/>
    <s v="Bahan Baku"/>
    <x v="0"/>
    <n v="0"/>
    <n v="250"/>
    <n v="1500"/>
    <n v="1250"/>
    <s v="Kg"/>
    <s v="Digunakan Produksi"/>
  </r>
  <r>
    <d v="2025-01-10T00:00:00"/>
    <s v="FG003"/>
    <x v="0"/>
    <s v="Produk"/>
    <x v="0"/>
    <n v="500"/>
    <n v="0"/>
    <n v="1250"/>
    <n v="1750"/>
    <s v="Pcs"/>
    <s v="Hasil Produksi"/>
  </r>
  <r>
    <d v="2025-01-10T00:00:00"/>
    <s v="FG005"/>
    <x v="2"/>
    <s v="Produk"/>
    <x v="2"/>
    <n v="500"/>
    <n v="0"/>
    <n v="1600"/>
    <n v="2100"/>
    <s v="Pcs"/>
    <s v="Hasil Produksi"/>
  </r>
  <r>
    <d v="2025-01-10T00:00:00"/>
    <s v="RM001"/>
    <x v="10"/>
    <s v="Bahan Baku"/>
    <x v="0"/>
    <n v="0"/>
    <n v="300"/>
    <n v="1500"/>
    <n v="1200"/>
    <s v="Kg"/>
    <s v="Digunakan Produksi"/>
  </r>
  <r>
    <d v="2025-01-10T00:00:00"/>
    <s v="RM005"/>
    <x v="5"/>
    <s v="Bahan Baku"/>
    <x v="0"/>
    <n v="0"/>
    <n v="120"/>
    <n v="800"/>
    <n v="680"/>
    <s v="Kg"/>
    <s v="Digunakan Produksi"/>
  </r>
  <r>
    <d v="2025-01-11T00:00:00"/>
    <s v="FG003"/>
    <x v="0"/>
    <s v="Produk"/>
    <x v="5"/>
    <n v="0"/>
    <n v="400"/>
    <n v="1750"/>
    <n v="1350"/>
    <s v="Pcs"/>
    <s v="Distribusi ke Customer"/>
  </r>
  <r>
    <d v="2025-01-11T00:00:00"/>
    <s v="PK002"/>
    <x v="4"/>
    <s v="Kemasan"/>
    <x v="12"/>
    <n v="0"/>
    <n v="350"/>
    <n v="7300"/>
    <n v="6950"/>
    <s v="Pcs"/>
    <s v="Digunakan Packaging"/>
  </r>
  <r>
    <d v="2025-01-11T00:00:00"/>
    <s v="PK006"/>
    <x v="6"/>
    <s v="Kemasan"/>
    <x v="17"/>
    <n v="0"/>
    <n v="30"/>
    <n v="150"/>
    <n v="120"/>
    <s v="Pcs"/>
    <s v="Digunakan Packaging"/>
  </r>
  <r>
    <d v="2025-01-12T00:00:00"/>
    <s v="AD001"/>
    <x v="11"/>
    <s v="Bahan Tambahan"/>
    <x v="18"/>
    <n v="0"/>
    <n v="80"/>
    <n v="320"/>
    <n v="240"/>
    <s v="Kg"/>
    <s v="Digunakan Produksi"/>
  </r>
  <r>
    <d v="2025-01-12T00:00:00"/>
    <s v="AD004"/>
    <x v="14"/>
    <s v="Bahan Tambahan"/>
    <x v="19"/>
    <n v="0"/>
    <n v="70"/>
    <n v="320"/>
    <n v="250"/>
    <s v="Kg"/>
    <s v="Digunakan Produksi"/>
  </r>
  <r>
    <d v="2025-01-12T00:00:00"/>
    <s v="FG001"/>
    <x v="15"/>
    <s v="Produk"/>
    <x v="20"/>
    <n v="0"/>
    <n v="400"/>
    <n v="900"/>
    <n v="500"/>
    <s v="Pcs"/>
    <s v="Distribusi ke Customer"/>
  </r>
  <r>
    <d v="2025-01-12T00:00:00"/>
    <s v="FG002"/>
    <x v="16"/>
    <s v="Produk"/>
    <x v="0"/>
    <n v="0"/>
    <n v="400"/>
    <n v="800"/>
    <n v="400"/>
    <s v="Pcs"/>
    <s v="Distribusi ke Customer"/>
  </r>
  <r>
    <d v="2025-01-12T00:00:00"/>
    <s v="FG003"/>
    <x v="0"/>
    <s v="Produk"/>
    <x v="1"/>
    <n v="600"/>
    <n v="0"/>
    <n v="1350"/>
    <n v="1950"/>
    <s v="Pcs"/>
    <s v="Hasil Produksi"/>
  </r>
  <r>
    <d v="2025-01-12T00:00:00"/>
    <s v="FG005"/>
    <x v="2"/>
    <s v="Produk"/>
    <x v="6"/>
    <n v="0"/>
    <n v="450"/>
    <n v="2100"/>
    <n v="1650"/>
    <s v="Pcs"/>
    <s v="Distribusi ke Customer"/>
  </r>
  <r>
    <d v="2025-01-12T00:00:00"/>
    <s v="PK001"/>
    <x v="3"/>
    <s v="Kemasan"/>
    <x v="4"/>
    <n v="0"/>
    <n v="250"/>
    <n v="1850"/>
    <n v="1600"/>
    <s v="Pcs"/>
    <s v="Digunakan Packaging"/>
  </r>
  <r>
    <d v="2025-01-12T00:00:00"/>
    <s v="PK004"/>
    <x v="8"/>
    <s v="Kemasan"/>
    <x v="21"/>
    <n v="500"/>
    <n v="0"/>
    <n v="6000"/>
    <n v="6500"/>
    <s v="Pcs"/>
    <s v="Restock Kemasan"/>
  </r>
  <r>
    <d v="2025-01-12T00:00:00"/>
    <s v="RM003"/>
    <x v="17"/>
    <s v="Bahan Baku"/>
    <x v="0"/>
    <n v="0"/>
    <n v="250"/>
    <n v="1400"/>
    <n v="1150"/>
    <s v="Kg"/>
    <s v="Digunakan Produksi"/>
  </r>
  <r>
    <d v="2025-01-13T00:00:00"/>
    <s v="PK002"/>
    <x v="4"/>
    <s v="Kemasan"/>
    <x v="4"/>
    <n v="900"/>
    <n v="0"/>
    <n v="6950"/>
    <n v="7850"/>
    <s v="Pcs"/>
    <s v="Restock Kemasan"/>
  </r>
  <r>
    <d v="2025-01-13T00:00:00"/>
    <s v="RM004"/>
    <x v="19"/>
    <s v="Bahan Baku"/>
    <x v="11"/>
    <n v="0"/>
    <n v="150"/>
    <n v="900"/>
    <n v="750"/>
    <s v="Kg"/>
    <s v="Digunakan Produksi"/>
  </r>
  <r>
    <d v="2025-01-14T00:00:00"/>
    <s v="AD003"/>
    <x v="13"/>
    <s v="Bahan Tambahan"/>
    <x v="0"/>
    <n v="0"/>
    <n v="150"/>
    <n v="700"/>
    <n v="550"/>
    <s v="Kg"/>
    <s v="Digunakan Produksi"/>
  </r>
  <r>
    <d v="2025-01-14T00:00:00"/>
    <s v="PK003"/>
    <x v="20"/>
    <s v="Kemasan"/>
    <x v="4"/>
    <n v="1000"/>
    <n v="0"/>
    <n v="5000"/>
    <n v="6000"/>
    <s v="Pcs"/>
    <s v="Restock Kemasan"/>
  </r>
  <r>
    <d v="2025-01-14T00:00:00"/>
    <s v="PK005"/>
    <x v="18"/>
    <s v="Kemasan"/>
    <x v="16"/>
    <n v="0"/>
    <n v="300"/>
    <n v="1500"/>
    <n v="1200"/>
    <s v="Pcs"/>
    <s v="Digunakan Packaging"/>
  </r>
  <r>
    <d v="2025-01-14T00:00:00"/>
    <s v="RM002"/>
    <x v="9"/>
    <s v="Bahan Baku"/>
    <x v="5"/>
    <n v="400"/>
    <n v="0"/>
    <n v="1250"/>
    <n v="1650"/>
    <s v="Kg"/>
    <s v="Restock Bahan Baku"/>
  </r>
  <r>
    <d v="2025-01-15T00:00:00"/>
    <s v="AD005"/>
    <x v="7"/>
    <s v="Bahan Tambahan"/>
    <x v="22"/>
    <n v="0"/>
    <n v="20"/>
    <n v="250"/>
    <n v="230"/>
    <s v="Kg"/>
    <s v="Digunakan Produksi"/>
  </r>
  <r>
    <d v="2025-01-15T00:00:00"/>
    <s v="RM001"/>
    <x v="10"/>
    <s v="Bahan Baku"/>
    <x v="11"/>
    <n v="400"/>
    <n v="0"/>
    <n v="1200"/>
    <n v="1600"/>
    <s v="Kg"/>
    <s v="Restock Bahan Baku"/>
  </r>
  <r>
    <d v="2025-01-17T00:00:00"/>
    <s v="AD002"/>
    <x v="12"/>
    <s v="Bahan Tambahan"/>
    <x v="23"/>
    <n v="0"/>
    <n v="80"/>
    <n v="320"/>
    <n v="240"/>
    <s v="Kg"/>
    <s v="Digunakan Produksi"/>
  </r>
  <r>
    <d v="2025-01-17T00:00:00"/>
    <s v="PK006"/>
    <x v="6"/>
    <s v="Kemasan"/>
    <x v="8"/>
    <n v="40"/>
    <n v="0"/>
    <n v="120"/>
    <n v="160"/>
    <s v="Pcs"/>
    <s v="Restock Kemasan"/>
  </r>
  <r>
    <d v="2025-01-18T00:00:00"/>
    <s v="FG001"/>
    <x v="15"/>
    <s v="Produk"/>
    <x v="24"/>
    <n v="700"/>
    <n v="0"/>
    <n v="500"/>
    <n v="1200"/>
    <s v="Pcs"/>
    <s v="Hasil Produksi"/>
  </r>
  <r>
    <d v="2025-01-18T00:00:00"/>
    <s v="FG002"/>
    <x v="16"/>
    <s v="Produk"/>
    <x v="5"/>
    <n v="600"/>
    <n v="0"/>
    <n v="400"/>
    <n v="1000"/>
    <s v="Pcs"/>
    <s v="Hasil Produksi"/>
  </r>
  <r>
    <d v="2025-01-18T00:00:00"/>
    <s v="RM003"/>
    <x v="17"/>
    <s v="Bahan Baku"/>
    <x v="11"/>
    <n v="300"/>
    <n v="0"/>
    <n v="1150"/>
    <n v="1450"/>
    <s v="Kg"/>
    <s v="Restock Bahan Baku"/>
  </r>
  <r>
    <d v="2025-01-19T00:00:00"/>
    <s v="PK004"/>
    <x v="8"/>
    <s v="Kemasan"/>
    <x v="25"/>
    <n v="0"/>
    <n v="400"/>
    <n v="6500"/>
    <n v="6100"/>
    <s v="Pcs"/>
    <s v="Digunakan Packaging"/>
  </r>
  <r>
    <d v="2025-01-19T00:00:00"/>
    <s v="RM005"/>
    <x v="5"/>
    <s v="Bahan Baku"/>
    <x v="5"/>
    <n v="200"/>
    <n v="0"/>
    <n v="680"/>
    <n v="880"/>
    <s v="Kg"/>
    <s v="Restock Bahan Baku"/>
  </r>
  <r>
    <d v="2025-01-20T00:00:00"/>
    <s v="AD001"/>
    <x v="11"/>
    <s v="Bahan Tambahan"/>
    <x v="26"/>
    <n v="90"/>
    <n v="0"/>
    <n v="240"/>
    <n v="330"/>
    <s v="Kg"/>
    <s v="Restock Bahan Tambahan"/>
  </r>
  <r>
    <d v="2025-01-20T00:00:00"/>
    <s v="AD004"/>
    <x v="14"/>
    <s v="Bahan Tambahan"/>
    <x v="27"/>
    <n v="100"/>
    <n v="0"/>
    <n v="250"/>
    <n v="350"/>
    <s v="Kg"/>
    <s v="Restock Bahan Tambahan"/>
  </r>
  <r>
    <d v="2025-01-21T00:00:00"/>
    <s v="AD003"/>
    <x v="13"/>
    <s v="Bahan Tambahan"/>
    <x v="5"/>
    <n v="180"/>
    <n v="0"/>
    <n v="550"/>
    <n v="730"/>
    <s v="Kg"/>
    <s v="Restock Bahan Tambahan"/>
  </r>
  <r>
    <d v="2025-01-21T00:00:00"/>
    <s v="RM004"/>
    <x v="19"/>
    <s v="Bahan Baku"/>
    <x v="28"/>
    <n v="300"/>
    <n v="0"/>
    <n v="750"/>
    <n v="1050"/>
    <s v="Kg"/>
    <s v="Restock Bahan Baku"/>
  </r>
  <r>
    <d v="2025-01-22T00:00:00"/>
    <s v="AD005"/>
    <x v="7"/>
    <s v="Bahan Tambahan"/>
    <x v="9"/>
    <n v="40"/>
    <n v="0"/>
    <n v="230"/>
    <n v="270"/>
    <s v="Kg"/>
    <s v="Restock Bahan Tambahan"/>
  </r>
  <r>
    <d v="2025-01-22T00:00:00"/>
    <s v="PK003"/>
    <x v="20"/>
    <s v="Kemasan"/>
    <x v="3"/>
    <n v="800"/>
    <n v="0"/>
    <n v="6000"/>
    <n v="6800"/>
    <s v="Pcs"/>
    <s v="Restock Kemasan"/>
  </r>
  <r>
    <d v="2025-01-22T00:00:00"/>
    <s v="RM002"/>
    <x v="9"/>
    <s v="Bahan Baku"/>
    <x v="11"/>
    <n v="0"/>
    <n v="300"/>
    <n v="1650"/>
    <n v="1350"/>
    <s v="Kg"/>
    <s v="Digunakan Produksi"/>
  </r>
  <r>
    <d v="2025-01-23T00:00:00"/>
    <s v="AD002"/>
    <x v="12"/>
    <s v="Bahan Tambahan"/>
    <x v="29"/>
    <n v="100"/>
    <n v="0"/>
    <n v="240"/>
    <n v="340"/>
    <s v="Kg"/>
    <s v="Restock Bahan Tambahan"/>
  </r>
  <r>
    <d v="2025-01-23T00:00:00"/>
    <s v="PK005"/>
    <x v="18"/>
    <s v="Kemasan"/>
    <x v="30"/>
    <n v="400"/>
    <n v="0"/>
    <n v="1200"/>
    <n v="1600"/>
    <s v="Pcs"/>
    <s v="Restock Kemasan"/>
  </r>
  <r>
    <d v="2025-01-25T00:00:00"/>
    <s v="RM003"/>
    <x v="17"/>
    <s v="Bahan Baku"/>
    <x v="0"/>
    <n v="0"/>
    <n v="200"/>
    <n v="1450"/>
    <n v="1250"/>
    <s v="Kg"/>
    <s v="Digunakan Produksi"/>
  </r>
  <r>
    <d v="2025-01-26T00:00:00"/>
    <s v="RM001"/>
    <x v="10"/>
    <s v="Bahan Baku"/>
    <x v="5"/>
    <n v="0"/>
    <n v="250"/>
    <n v="1600"/>
    <n v="1350"/>
    <s v="Kg"/>
    <s v="Digunakan Produksi"/>
  </r>
  <r>
    <d v="2025-01-27T00:00:00"/>
    <s v="FG001"/>
    <x v="15"/>
    <s v="Produk"/>
    <x v="15"/>
    <n v="0"/>
    <n v="500"/>
    <n v="1200"/>
    <n v="700"/>
    <s v="Pcs"/>
    <s v="Distribusi ke Customer"/>
  </r>
  <r>
    <d v="2025-01-27T00:00:00"/>
    <s v="FG002"/>
    <x v="16"/>
    <s v="Produk"/>
    <x v="1"/>
    <n v="0"/>
    <n v="350"/>
    <n v="1000"/>
    <n v="650"/>
    <s v="Pcs"/>
    <s v="Distribusi ke Customer"/>
  </r>
  <r>
    <d v="2025-01-27T00:00:00"/>
    <s v="PK004"/>
    <x v="8"/>
    <s v="Kemasan"/>
    <x v="10"/>
    <n v="0"/>
    <n v="300"/>
    <n v="6100"/>
    <n v="5800"/>
    <s v="Pcs"/>
    <s v="Digunakan Packaging"/>
  </r>
  <r>
    <d v="2025-01-28T00:00:00"/>
    <s v="AD001"/>
    <x v="11"/>
    <s v="Bahan Tambahan"/>
    <x v="13"/>
    <n v="0"/>
    <n v="100"/>
    <n v="330"/>
    <n v="230"/>
    <s v="Kg"/>
    <s v="Digunakan Produksi"/>
  </r>
  <r>
    <d v="2025-01-28T00:00:00"/>
    <s v="AD004"/>
    <x v="14"/>
    <s v="Bahan Tambahan"/>
    <x v="9"/>
    <n v="0"/>
    <n v="80"/>
    <n v="350"/>
    <n v="270"/>
    <s v="Kg"/>
    <s v="Digunakan Produksi"/>
  </r>
  <r>
    <d v="2025-01-28T00:00:00"/>
    <s v="AD005"/>
    <x v="7"/>
    <s v="Bahan Tambahan"/>
    <x v="31"/>
    <n v="0"/>
    <n v="30"/>
    <n v="270"/>
    <n v="240"/>
    <s v="Kg"/>
    <s v="Digunakan Produksi"/>
  </r>
  <r>
    <d v="2025-01-28T00:00:00"/>
    <s v="PK005"/>
    <x v="18"/>
    <s v="Kemasan"/>
    <x v="30"/>
    <n v="0"/>
    <n v="250"/>
    <n v="1600"/>
    <n v="1350"/>
    <s v="Pcs"/>
    <s v="Digunakan Packaging"/>
  </r>
  <r>
    <d v="2025-01-28T00:00:00"/>
    <s v="RM004"/>
    <x v="19"/>
    <s v="Bahan Baku"/>
    <x v="0"/>
    <n v="0"/>
    <n v="200"/>
    <n v="1050"/>
    <n v="850"/>
    <s v="Kg"/>
    <s v="Digunakan Produksi"/>
  </r>
  <r>
    <d v="2025-01-29T00:00:00"/>
    <s v="AD002"/>
    <x v="12"/>
    <s v="Bahan Tambahan"/>
    <x v="14"/>
    <n v="0"/>
    <n v="70"/>
    <n v="340"/>
    <n v="270"/>
    <s v="Kg"/>
    <s v="Digunakan Produksi"/>
  </r>
  <r>
    <d v="2025-01-29T00:00:00"/>
    <s v="PK006"/>
    <x v="6"/>
    <s v="Kemasan"/>
    <x v="32"/>
    <n v="0"/>
    <n v="20"/>
    <n v="160"/>
    <n v="140"/>
    <s v="Pcs"/>
    <s v="Digunakan Packaging"/>
  </r>
  <r>
    <d v="2025-01-29T00:00:00"/>
    <s v="RM005"/>
    <x v="5"/>
    <s v="Bahan Baku"/>
    <x v="5"/>
    <n v="0"/>
    <n v="150"/>
    <n v="880"/>
    <n v="730"/>
    <s v="Kg"/>
    <s v="Digunakan Produksi"/>
  </r>
  <r>
    <d v="2025-01-30T00:00:00"/>
    <s v="AD003"/>
    <x v="13"/>
    <s v="Bahan Tambahan"/>
    <x v="1"/>
    <n v="0"/>
    <n v="120"/>
    <n v="730"/>
    <n v="610"/>
    <s v="Kg"/>
    <s v="Digunakan Produksi"/>
  </r>
  <r>
    <d v="2025-02-02T00:00:00"/>
    <s v="PK005"/>
    <x v="18"/>
    <s v="Kemasan"/>
    <x v="16"/>
    <n v="600"/>
    <n v="0"/>
    <n v="1350"/>
    <n v="1950"/>
    <s v="Pcs"/>
    <s v="Restock Kemasan"/>
  </r>
  <r>
    <d v="2025-02-02T00:00:00"/>
    <s v="RM004"/>
    <x v="19"/>
    <s v="Bahan Baku"/>
    <x v="11"/>
    <n v="350"/>
    <n v="0"/>
    <n v="850"/>
    <n v="1200"/>
    <s v="Kg"/>
    <s v="Restock Bahan Baku"/>
  </r>
  <r>
    <d v="2025-02-03T00:00:00"/>
    <s v="AD001"/>
    <x v="11"/>
    <s v="Bahan Tambahan"/>
    <x v="18"/>
    <n v="110"/>
    <n v="0"/>
    <n v="230"/>
    <n v="340"/>
    <s v="Kg"/>
    <s v="Restock Bahan Tambahan"/>
  </r>
  <r>
    <d v="2025-02-03T00:00:00"/>
    <s v="AD002"/>
    <x v="12"/>
    <s v="Bahan Tambahan"/>
    <x v="23"/>
    <n v="90"/>
    <n v="0"/>
    <n v="270"/>
    <n v="360"/>
    <s v="Kg"/>
    <s v="Restock Bahan Tambahan"/>
  </r>
  <r>
    <d v="2025-02-03T00:00:00"/>
    <s v="AD003"/>
    <x v="13"/>
    <s v="Bahan Tambahan"/>
    <x v="0"/>
    <n v="220"/>
    <n v="0"/>
    <n v="610"/>
    <n v="830"/>
    <s v="Kg"/>
    <s v="Restock Bahan Tambahan"/>
  </r>
  <r>
    <d v="2025-02-03T00:00:00"/>
    <s v="AD004"/>
    <x v="14"/>
    <s v="Bahan Tambahan"/>
    <x v="19"/>
    <n v="140"/>
    <n v="0"/>
    <n v="270"/>
    <n v="410"/>
    <s v="Kg"/>
    <s v="Restock Bahan Tambahan"/>
  </r>
  <r>
    <d v="2025-02-03T00:00:00"/>
    <s v="FG001"/>
    <x v="15"/>
    <s v="Produk"/>
    <x v="20"/>
    <n v="500"/>
    <n v="0"/>
    <n v="700"/>
    <n v="1200"/>
    <s v="Pcs"/>
    <s v="Hasil Produksi"/>
  </r>
  <r>
    <d v="2025-02-03T00:00:00"/>
    <s v="FG002"/>
    <x v="16"/>
    <s v="Produk"/>
    <x v="0"/>
    <n v="400"/>
    <n v="0"/>
    <n v="650"/>
    <n v="1050"/>
    <s v="Pcs"/>
    <s v="Hasil Produksi"/>
  </r>
  <r>
    <d v="2025-02-03T00:00:00"/>
    <s v="PK006"/>
    <x v="6"/>
    <s v="Kemasan"/>
    <x v="8"/>
    <n v="60"/>
    <n v="0"/>
    <n v="140"/>
    <n v="200"/>
    <s v="Pcs"/>
    <s v="Restock Kemasan"/>
  </r>
  <r>
    <d v="2025-02-04T00:00:00"/>
    <s v="RM003"/>
    <x v="17"/>
    <s v="Bahan Baku"/>
    <x v="11"/>
    <n v="350"/>
    <n v="0"/>
    <n v="1250"/>
    <n v="1600"/>
    <s v="Kg"/>
    <s v="Restock Bahan Baku"/>
  </r>
  <r>
    <d v="2025-02-05T00:00:00"/>
    <s v="AD005"/>
    <x v="7"/>
    <s v="Bahan Tambahan"/>
    <x v="9"/>
    <n v="60"/>
    <n v="0"/>
    <n v="240"/>
    <n v="300"/>
    <s v="Kg"/>
    <s v="Restock Bahan Tambahan"/>
  </r>
  <r>
    <d v="2025-02-05T00:00:00"/>
    <s v="FG004"/>
    <x v="1"/>
    <s v="Produk"/>
    <x v="1"/>
    <n v="0"/>
    <n v="500"/>
    <n v="1700"/>
    <n v="1200"/>
    <s v="Pcs"/>
    <s v="Distribusi ke Customer"/>
  </r>
  <r>
    <d v="2025-02-05T00:00:00"/>
    <s v="PK003"/>
    <x v="20"/>
    <s v="Kemasan"/>
    <x v="33"/>
    <n v="0"/>
    <n v="400"/>
    <n v="6800"/>
    <n v="6400"/>
    <s v="Pcs"/>
    <s v="Digunakan Packaging"/>
  </r>
  <r>
    <d v="2025-02-05T00:00:00"/>
    <s v="PK004"/>
    <x v="8"/>
    <s v="Kemasan"/>
    <x v="21"/>
    <n v="1200"/>
    <n v="0"/>
    <n v="5800"/>
    <n v="7000"/>
    <s v="Pcs"/>
    <s v="Restock Kemasan"/>
  </r>
  <r>
    <d v="2025-02-05T00:00:00"/>
    <s v="RM002"/>
    <x v="9"/>
    <s v="Bahan Baku"/>
    <x v="0"/>
    <n v="450"/>
    <n v="0"/>
    <n v="1350"/>
    <n v="1800"/>
    <s v="Kg"/>
    <s v="Restock Bahan Baku"/>
  </r>
  <r>
    <d v="2025-02-06T00:00:00"/>
    <s v="RM005"/>
    <x v="5"/>
    <s v="Bahan Baku"/>
    <x v="11"/>
    <n v="250"/>
    <n v="0"/>
    <n v="730"/>
    <n v="980"/>
    <s v="Kg"/>
    <s v="Restock Bahan Baku"/>
  </r>
  <r>
    <d v="2025-02-07T00:00:00"/>
    <s v="PK005"/>
    <x v="18"/>
    <s v="Kemasan"/>
    <x v="16"/>
    <n v="0"/>
    <n v="400"/>
    <n v="1950"/>
    <n v="1550"/>
    <s v="Pcs"/>
    <s v="Digunakan Packaging"/>
  </r>
  <r>
    <d v="2025-02-08T00:00:00"/>
    <s v="RM001"/>
    <x v="10"/>
    <s v="Bahan Baku"/>
    <x v="0"/>
    <n v="450"/>
    <n v="0"/>
    <n v="1350"/>
    <n v="1800"/>
    <s v="Kg"/>
    <s v="Restock Bahan Baku"/>
  </r>
  <r>
    <d v="2025-02-09T00:00:00"/>
    <s v="PK006"/>
    <x v="6"/>
    <s v="Kemasan"/>
    <x v="17"/>
    <n v="0"/>
    <n v="50"/>
    <n v="200"/>
    <n v="150"/>
    <s v="Pcs"/>
    <s v="Digunakan Packaging"/>
  </r>
  <r>
    <d v="2025-02-10T00:00:00"/>
    <s v="AD001"/>
    <x v="11"/>
    <s v="Bahan Tambahan"/>
    <x v="26"/>
    <n v="0"/>
    <n v="90"/>
    <n v="340"/>
    <n v="250"/>
    <s v="Kg"/>
    <s v="Digunakan Produksi"/>
  </r>
  <r>
    <d v="2025-02-10T00:00:00"/>
    <s v="FG004"/>
    <x v="1"/>
    <s v="Produk"/>
    <x v="5"/>
    <n v="400"/>
    <n v="0"/>
    <n v="1200"/>
    <n v="1600"/>
    <s v="Pcs"/>
    <s v="Hasil Produksi"/>
  </r>
  <r>
    <d v="2025-02-10T00:00:00"/>
    <s v="RM004"/>
    <x v="19"/>
    <s v="Bahan Baku"/>
    <x v="28"/>
    <n v="0"/>
    <n v="250"/>
    <n v="1200"/>
    <n v="950"/>
    <s v="Kg"/>
    <s v="Digunakan Produksi"/>
  </r>
  <r>
    <d v="2025-02-11T00:00:00"/>
    <s v="AD002"/>
    <x v="12"/>
    <s v="Bahan Tambahan"/>
    <x v="29"/>
    <n v="0"/>
    <n v="60"/>
    <n v="360"/>
    <n v="300"/>
    <s v="Kg"/>
    <s v="Digunakan Produksi"/>
  </r>
  <r>
    <d v="2025-02-11T00:00:00"/>
    <s v="AD003"/>
    <x v="13"/>
    <s v="Bahan Tambahan"/>
    <x v="5"/>
    <n v="0"/>
    <n v="200"/>
    <n v="830"/>
    <n v="630"/>
    <s v="Kg"/>
    <s v="Digunakan Produksi"/>
  </r>
  <r>
    <d v="2025-02-11T00:00:00"/>
    <s v="AD004"/>
    <x v="14"/>
    <s v="Bahan Tambahan"/>
    <x v="27"/>
    <n v="0"/>
    <n v="90"/>
    <n v="410"/>
    <n v="320"/>
    <s v="Kg"/>
    <s v="Digunakan Produksi"/>
  </r>
  <r>
    <d v="2025-02-11T00:00:00"/>
    <s v="FG001"/>
    <x v="15"/>
    <s v="Produk"/>
    <x v="24"/>
    <n v="0"/>
    <n v="400"/>
    <n v="1200"/>
    <n v="800"/>
    <s v="Pcs"/>
    <s v="Distribusi ke Customer"/>
  </r>
  <r>
    <d v="2025-02-11T00:00:00"/>
    <s v="FG002"/>
    <x v="16"/>
    <s v="Produk"/>
    <x v="5"/>
    <n v="0"/>
    <n v="500"/>
    <n v="1050"/>
    <n v="550"/>
    <s v="Pcs"/>
    <s v="Distribusi ke Customer"/>
  </r>
  <r>
    <d v="2025-02-11T00:00:00"/>
    <s v="PK004"/>
    <x v="8"/>
    <s v="Kemasan"/>
    <x v="25"/>
    <n v="0"/>
    <n v="500"/>
    <n v="7000"/>
    <n v="6500"/>
    <s v="Pcs"/>
    <s v="Digunakan Packaging"/>
  </r>
  <r>
    <d v="2025-02-11T00:00:00"/>
    <s v="RM002"/>
    <x v="9"/>
    <s v="Bahan Baku"/>
    <x v="5"/>
    <n v="0"/>
    <n v="350"/>
    <n v="1800"/>
    <n v="1450"/>
    <s v="Kg"/>
    <s v="Digunakan Produksi"/>
  </r>
  <r>
    <d v="2025-02-11T00:00:00"/>
    <s v="RM005"/>
    <x v="5"/>
    <s v="Bahan Baku"/>
    <x v="11"/>
    <n v="0"/>
    <n v="180"/>
    <n v="980"/>
    <n v="800"/>
    <s v="Kg"/>
    <s v="Digunakan Produksi"/>
  </r>
  <r>
    <d v="2025-02-12T00:00:00"/>
    <s v="AD005"/>
    <x v="7"/>
    <s v="Bahan Tambahan"/>
    <x v="22"/>
    <n v="0"/>
    <n v="25"/>
    <n v="300"/>
    <n v="275"/>
    <s v="Kg"/>
    <s v="Digunakan Produksi"/>
  </r>
  <r>
    <d v="2025-02-13T00:00:00"/>
    <s v="FG005"/>
    <x v="2"/>
    <s v="Produk"/>
    <x v="5"/>
    <n v="600"/>
    <n v="0"/>
    <n v="1650"/>
    <n v="2250"/>
    <s v="Pcs"/>
    <s v="Hasil Produksi"/>
  </r>
  <r>
    <d v="2025-02-13T00:00:00"/>
    <s v="RM003"/>
    <x v="17"/>
    <s v="Bahan Baku"/>
    <x v="5"/>
    <n v="0"/>
    <n v="300"/>
    <n v="1600"/>
    <n v="1300"/>
    <s v="Kg"/>
    <s v="Digunakan Produksi"/>
  </r>
  <r>
    <d v="2025-02-14T00:00:00"/>
    <s v="FG003"/>
    <x v="0"/>
    <s v="Produk"/>
    <x v="0"/>
    <n v="0"/>
    <n v="450"/>
    <n v="1950"/>
    <n v="1500"/>
    <s v="Pcs"/>
    <s v="Distribusi ke Customer"/>
  </r>
  <r>
    <d v="2025-02-14T00:00:00"/>
    <s v="PK001"/>
    <x v="3"/>
    <s v="Kemasan"/>
    <x v="10"/>
    <n v="350"/>
    <n v="0"/>
    <n v="1600"/>
    <n v="1950"/>
    <s v="Pcs"/>
    <s v="Restock Kemasan"/>
  </r>
  <r>
    <d v="2025-02-14T00:00:00"/>
    <s v="RM001"/>
    <x v="10"/>
    <s v="Bahan Baku"/>
    <x v="11"/>
    <n v="0"/>
    <n v="350"/>
    <n v="1800"/>
    <n v="1450"/>
    <s v="Kg"/>
    <s v="Digunakan Produksi"/>
  </r>
  <r>
    <d v="2025-02-15T00:00:00"/>
    <s v="FG005"/>
    <x v="2"/>
    <s v="Produk"/>
    <x v="2"/>
    <n v="0"/>
    <n v="400"/>
    <n v="2250"/>
    <n v="1850"/>
    <s v="Pcs"/>
    <s v="Distribusi ke Customer"/>
  </r>
  <r>
    <d v="2025-02-15T00:00:00"/>
    <s v="PK002"/>
    <x v="4"/>
    <s v="Kemasan"/>
    <x v="7"/>
    <n v="0"/>
    <n v="400"/>
    <n v="7850"/>
    <n v="7450"/>
    <s v="Pcs"/>
    <s v="Digunakan Packaging"/>
  </r>
  <r>
    <d v="2025-02-15T00:00:00"/>
    <s v="PK005"/>
    <x v="18"/>
    <s v="Kemasan"/>
    <x v="30"/>
    <n v="300"/>
    <n v="0"/>
    <n v="1550"/>
    <n v="1850"/>
    <s v="Pcs"/>
    <s v="Restock Kemasan"/>
  </r>
  <r>
    <d v="2025-02-15T00:00:00"/>
    <s v="RM005"/>
    <x v="5"/>
    <s v="Bahan Baku"/>
    <x v="0"/>
    <n v="220"/>
    <n v="0"/>
    <n v="800"/>
    <n v="1020"/>
    <s v="Kg"/>
    <s v="Restock Bahan Baku"/>
  </r>
  <r>
    <d v="2025-02-16T00:00:00"/>
    <s v="FG003"/>
    <x v="0"/>
    <s v="Produk"/>
    <x v="5"/>
    <n v="550"/>
    <n v="0"/>
    <n v="1500"/>
    <n v="2050"/>
    <s v="Pcs"/>
    <s v="Hasil Produksi"/>
  </r>
  <r>
    <d v="2025-02-16T00:00:00"/>
    <s v="PK001"/>
    <x v="3"/>
    <s v="Kemasan"/>
    <x v="3"/>
    <n v="0"/>
    <n v="200"/>
    <n v="1950"/>
    <n v="1750"/>
    <s v="Pcs"/>
    <s v="Digunakan Packaging"/>
  </r>
  <r>
    <d v="2025-02-16T00:00:00"/>
    <s v="PK006"/>
    <x v="6"/>
    <s v="Kemasan"/>
    <x v="32"/>
    <n v="30"/>
    <n v="0"/>
    <n v="150"/>
    <n v="180"/>
    <s v="Pcs"/>
    <s v="Restock Kemasan"/>
  </r>
  <r>
    <d v="2025-02-17T00:00:00"/>
    <s v="FG001"/>
    <x v="15"/>
    <s v="Produk"/>
    <x v="15"/>
    <n v="600"/>
    <n v="0"/>
    <n v="800"/>
    <n v="1400"/>
    <s v="Pcs"/>
    <s v="Hasil Produksi"/>
  </r>
  <r>
    <d v="2025-02-17T00:00:00"/>
    <s v="PK002"/>
    <x v="4"/>
    <s v="Kemasan"/>
    <x v="12"/>
    <n v="700"/>
    <n v="0"/>
    <n v="7450"/>
    <n v="8150"/>
    <s v="Pcs"/>
    <s v="Restock Kemasan"/>
  </r>
  <r>
    <d v="2025-02-17T00:00:00"/>
    <s v="RM004"/>
    <x v="19"/>
    <s v="Bahan Baku"/>
    <x v="0"/>
    <n v="300"/>
    <n v="0"/>
    <n v="950"/>
    <n v="1250"/>
    <s v="Kg"/>
    <s v="Restock Bahan Baku"/>
  </r>
  <r>
    <d v="2025-02-18T00:00:00"/>
    <s v="AD001"/>
    <x v="11"/>
    <s v="Bahan Tambahan"/>
    <x v="13"/>
    <n v="80"/>
    <n v="0"/>
    <n v="250"/>
    <n v="330"/>
    <s v="Kg"/>
    <s v="Restock Bahan Tambahan"/>
  </r>
  <r>
    <d v="2025-02-18T00:00:00"/>
    <s v="AD003"/>
    <x v="13"/>
    <s v="Bahan Tambahan"/>
    <x v="1"/>
    <n v="150"/>
    <n v="0"/>
    <n v="630"/>
    <n v="780"/>
    <s v="Kg"/>
    <s v="Restock Bahan Tambahan"/>
  </r>
  <r>
    <d v="2025-02-18T00:00:00"/>
    <s v="AD005"/>
    <x v="7"/>
    <s v="Bahan Tambahan"/>
    <x v="31"/>
    <n v="50"/>
    <n v="0"/>
    <n v="275"/>
    <n v="325"/>
    <s v="Kg"/>
    <s v="Restock Bahan Tambahan"/>
  </r>
  <r>
    <d v="2025-02-18T00:00:00"/>
    <s v="FG003"/>
    <x v="0"/>
    <s v="Produk"/>
    <x v="1"/>
    <n v="0"/>
    <n v="500"/>
    <n v="2050"/>
    <n v="1550"/>
    <s v="Pcs"/>
    <s v="Distribusi ke Customer"/>
  </r>
  <r>
    <d v="2025-02-18T00:00:00"/>
    <s v="PK004"/>
    <x v="8"/>
    <s v="Kemasan"/>
    <x v="10"/>
    <n v="600"/>
    <n v="0"/>
    <n v="6500"/>
    <n v="7100"/>
    <s v="Pcs"/>
    <s v="Restock Kemasan"/>
  </r>
  <r>
    <d v="2025-02-19T00:00:00"/>
    <s v="AD002"/>
    <x v="12"/>
    <s v="Bahan Tambahan"/>
    <x v="14"/>
    <n v="110"/>
    <n v="0"/>
    <n v="300"/>
    <n v="410"/>
    <s v="Kg"/>
    <s v="Restock Bahan Tambahan"/>
  </r>
  <r>
    <d v="2025-02-19T00:00:00"/>
    <s v="AD004"/>
    <x v="14"/>
    <s v="Bahan Tambahan"/>
    <x v="9"/>
    <n v="120"/>
    <n v="0"/>
    <n v="320"/>
    <n v="440"/>
    <s v="Kg"/>
    <s v="Restock Bahan Tambahan"/>
  </r>
  <r>
    <d v="2025-02-19T00:00:00"/>
    <s v="FG002"/>
    <x v="16"/>
    <s v="Produk"/>
    <x v="1"/>
    <n v="600"/>
    <n v="0"/>
    <n v="550"/>
    <n v="1150"/>
    <s v="Pcs"/>
    <s v="Hasil Produksi"/>
  </r>
  <r>
    <d v="2025-02-19T00:00:00"/>
    <s v="FG003"/>
    <x v="0"/>
    <s v="Produk"/>
    <x v="0"/>
    <n v="600"/>
    <n v="0"/>
    <n v="1550"/>
    <n v="2150"/>
    <s v="Pcs"/>
    <s v="Hasil Produksi"/>
  </r>
  <r>
    <d v="2025-02-19T00:00:00"/>
    <s v="PK003"/>
    <x v="20"/>
    <s v="Kemasan"/>
    <x v="4"/>
    <n v="0"/>
    <n v="350"/>
    <n v="6400"/>
    <n v="6050"/>
    <s v="Pcs"/>
    <s v="Digunakan Packaging"/>
  </r>
  <r>
    <d v="2025-02-19T00:00:00"/>
    <s v="RM002"/>
    <x v="9"/>
    <s v="Bahan Baku"/>
    <x v="11"/>
    <n v="300"/>
    <n v="0"/>
    <n v="1450"/>
    <n v="1750"/>
    <s v="Kg"/>
    <s v="Restock Bahan Baku"/>
  </r>
  <r>
    <d v="2025-02-20T00:00:00"/>
    <s v="FG003"/>
    <x v="0"/>
    <s v="Produk"/>
    <x v="5"/>
    <n v="0"/>
    <n v="450"/>
    <n v="2150"/>
    <n v="1700"/>
    <s v="Pcs"/>
    <s v="Distribusi ke Customer"/>
  </r>
  <r>
    <d v="2025-02-21T00:00:00"/>
    <s v="PK005"/>
    <x v="18"/>
    <s v="Kemasan"/>
    <x v="30"/>
    <n v="0"/>
    <n v="350"/>
    <n v="1850"/>
    <n v="1500"/>
    <s v="Pcs"/>
    <s v="Digunakan Packaging"/>
  </r>
  <r>
    <d v="2025-02-22T00:00:00"/>
    <s v="RM003"/>
    <x v="17"/>
    <s v="Bahan Baku"/>
    <x v="0"/>
    <n v="200"/>
    <n v="0"/>
    <n v="1300"/>
    <n v="1500"/>
    <s v="Kg"/>
    <s v="Restock Bahan Baku"/>
  </r>
  <r>
    <d v="2025-02-23T00:00:00"/>
    <s v="RM005"/>
    <x v="5"/>
    <s v="Bahan Baku"/>
    <x v="0"/>
    <n v="0"/>
    <n v="140"/>
    <n v="1020"/>
    <n v="880"/>
    <s v="Kg"/>
    <s v="Digunakan Produksi"/>
  </r>
  <r>
    <d v="2025-02-24T00:00:00"/>
    <s v="FG001"/>
    <x v="15"/>
    <s v="Produk"/>
    <x v="20"/>
    <n v="0"/>
    <n v="600"/>
    <n v="1400"/>
    <n v="800"/>
    <s v="Pcs"/>
    <s v="Distribusi ke Customer"/>
  </r>
  <r>
    <d v="2025-02-24T00:00:00"/>
    <s v="FG002"/>
    <x v="16"/>
    <s v="Produk"/>
    <x v="0"/>
    <n v="0"/>
    <n v="400"/>
    <n v="1150"/>
    <n v="750"/>
    <s v="Pcs"/>
    <s v="Distribusi ke Customer"/>
  </r>
  <r>
    <d v="2025-02-24T00:00:00"/>
    <s v="PK004"/>
    <x v="8"/>
    <s v="Kemasan"/>
    <x v="21"/>
    <n v="0"/>
    <n v="400"/>
    <n v="7100"/>
    <n v="6700"/>
    <s v="Pcs"/>
    <s v="Digunakan Packaging"/>
  </r>
  <r>
    <d v="2025-02-24T00:00:00"/>
    <s v="PK006"/>
    <x v="6"/>
    <s v="Kemasan"/>
    <x v="8"/>
    <n v="0"/>
    <n v="40"/>
    <n v="180"/>
    <n v="140"/>
    <s v="Pcs"/>
    <s v="Digunakan Packaging"/>
  </r>
  <r>
    <d v="2025-02-24T00:00:00"/>
    <s v="RM004"/>
    <x v="19"/>
    <s v="Bahan Baku"/>
    <x v="11"/>
    <n v="0"/>
    <n v="200"/>
    <n v="1250"/>
    <n v="1050"/>
    <s v="Kg"/>
    <s v="Digunakan Produksi"/>
  </r>
  <r>
    <d v="2025-02-25T00:00:00"/>
    <s v="AD001"/>
    <x v="11"/>
    <s v="Bahan Tambahan"/>
    <x v="18"/>
    <n v="0"/>
    <n v="70"/>
    <n v="330"/>
    <n v="260"/>
    <s v="Kg"/>
    <s v="Digunakan Produksi"/>
  </r>
  <r>
    <d v="2025-02-25T00:00:00"/>
    <s v="AD004"/>
    <x v="14"/>
    <s v="Bahan Tambahan"/>
    <x v="19"/>
    <n v="0"/>
    <n v="100"/>
    <n v="440"/>
    <n v="340"/>
    <s v="Kg"/>
    <s v="Digunakan Produksi"/>
  </r>
  <r>
    <d v="2025-02-25T00:00:00"/>
    <s v="AD005"/>
    <x v="7"/>
    <s v="Bahan Tambahan"/>
    <x v="9"/>
    <n v="0"/>
    <n v="30"/>
    <n v="325"/>
    <n v="295"/>
    <s v="Kg"/>
    <s v="Digunakan Produksi"/>
  </r>
  <r>
    <d v="2025-02-26T00:00:00"/>
    <s v="AD002"/>
    <x v="12"/>
    <s v="Bahan Tambahan"/>
    <x v="23"/>
    <n v="0"/>
    <n v="85"/>
    <n v="410"/>
    <n v="325"/>
    <s v="Kg"/>
    <s v="Digunakan Produksi"/>
  </r>
  <r>
    <d v="2025-02-26T00:00:00"/>
    <s v="AD003"/>
    <x v="13"/>
    <s v="Bahan Tambahan"/>
    <x v="0"/>
    <n v="0"/>
    <n v="130"/>
    <n v="780"/>
    <n v="650"/>
    <s v="Kg"/>
    <s v="Digunakan Produksi"/>
  </r>
  <r>
    <d v="2025-02-27T00:00:00"/>
    <s v="RM001"/>
    <x v="10"/>
    <s v="Bahan Baku"/>
    <x v="5"/>
    <n v="500"/>
    <n v="0"/>
    <n v="1450"/>
    <n v="1950"/>
    <s v="Kg"/>
    <s v="Restock Bahan Baku"/>
  </r>
  <r>
    <d v="2025-02-28T00:00:00"/>
    <s v="RM002"/>
    <x v="9"/>
    <s v="Bahan Baku"/>
    <x v="0"/>
    <n v="0"/>
    <n v="250"/>
    <n v="1750"/>
    <n v="1500"/>
    <s v="Kg"/>
    <s v="Digunakan Produksi"/>
  </r>
  <r>
    <d v="2025-03-02T00:00:00"/>
    <s v="PK004"/>
    <x v="8"/>
    <s v="Kemasan"/>
    <x v="25"/>
    <n v="1000"/>
    <n v="0"/>
    <n v="6700"/>
    <n v="7700"/>
    <s v="Pcs"/>
    <s v="Restock Kemasan"/>
  </r>
  <r>
    <d v="2025-03-02T00:00:00"/>
    <s v="RM005"/>
    <x v="5"/>
    <s v="Bahan Baku"/>
    <x v="5"/>
    <n v="260"/>
    <n v="0"/>
    <n v="880"/>
    <n v="1140"/>
    <s v="Kg"/>
    <s v="Restock Bahan Baku"/>
  </r>
  <r>
    <d v="2025-03-03T00:00:00"/>
    <s v="RM001"/>
    <x v="10"/>
    <s v="Bahan Baku"/>
    <x v="0"/>
    <n v="0"/>
    <n v="300"/>
    <n v="1950"/>
    <n v="1650"/>
    <s v="Kg"/>
    <s v="Digunakan Produksi"/>
  </r>
  <r>
    <d v="2025-03-03T00:00:00"/>
    <s v="RM004"/>
    <x v="19"/>
    <s v="Bahan Baku"/>
    <x v="28"/>
    <n v="450"/>
    <n v="0"/>
    <n v="1050"/>
    <n v="1500"/>
    <s v="Kg"/>
    <s v="Restock Bahan Baku"/>
  </r>
  <r>
    <d v="2025-03-04T00:00:00"/>
    <s v="AD001"/>
    <x v="11"/>
    <s v="Bahan Tambahan"/>
    <x v="26"/>
    <n v="100"/>
    <n v="0"/>
    <n v="260"/>
    <n v="360"/>
    <s v="Kg"/>
    <s v="Restock Bahan Tambahan"/>
  </r>
  <r>
    <d v="2025-03-04T00:00:00"/>
    <s v="AD002"/>
    <x v="12"/>
    <s v="Bahan Tambahan"/>
    <x v="29"/>
    <n v="130"/>
    <n v="0"/>
    <n v="325"/>
    <n v="455"/>
    <s v="Kg"/>
    <s v="Restock Bahan Tambahan"/>
  </r>
  <r>
    <d v="2025-03-04T00:00:00"/>
    <s v="AD004"/>
    <x v="14"/>
    <s v="Bahan Tambahan"/>
    <x v="27"/>
    <n v="150"/>
    <n v="0"/>
    <n v="340"/>
    <n v="490"/>
    <s v="Kg"/>
    <s v="Restock Bahan Tambahan"/>
  </r>
  <r>
    <d v="2025-03-04T00:00:00"/>
    <s v="AD005"/>
    <x v="7"/>
    <s v="Bahan Tambahan"/>
    <x v="22"/>
    <n v="55"/>
    <n v="0"/>
    <n v="295"/>
    <n v="350"/>
    <s v="Kg"/>
    <s v="Restock Bahan Tambahan"/>
  </r>
  <r>
    <d v="2025-03-04T00:00:00"/>
    <s v="FG001"/>
    <x v="15"/>
    <s v="Produk"/>
    <x v="24"/>
    <n v="700"/>
    <n v="0"/>
    <n v="800"/>
    <n v="1500"/>
    <s v="Pcs"/>
    <s v="Hasil Produksi"/>
  </r>
  <r>
    <d v="2025-03-04T00:00:00"/>
    <s v="PK005"/>
    <x v="18"/>
    <s v="Kemasan"/>
    <x v="16"/>
    <n v="500"/>
    <n v="0"/>
    <n v="1500"/>
    <n v="2000"/>
    <s v="Pcs"/>
    <s v="Restock Kemasan"/>
  </r>
  <r>
    <d v="2025-03-04T00:00:00"/>
    <s v="RM002"/>
    <x v="9"/>
    <s v="Bahan Baku"/>
    <x v="5"/>
    <n v="500"/>
    <n v="0"/>
    <n v="1500"/>
    <n v="2000"/>
    <s v="Kg"/>
    <s v="Restock Bahan Baku"/>
  </r>
  <r>
    <d v="2025-03-06T00:00:00"/>
    <s v="AD003"/>
    <x v="13"/>
    <s v="Bahan Tambahan"/>
    <x v="5"/>
    <n v="200"/>
    <n v="0"/>
    <n v="650"/>
    <n v="850"/>
    <s v="Kg"/>
    <s v="Restock Bahan Tambahan"/>
  </r>
  <r>
    <d v="2025-03-06T00:00:00"/>
    <s v="FG002"/>
    <x v="16"/>
    <s v="Produk"/>
    <x v="5"/>
    <n v="500"/>
    <n v="0"/>
    <n v="750"/>
    <n v="1250"/>
    <s v="Pcs"/>
    <s v="Hasil Produksi"/>
  </r>
  <r>
    <d v="2025-03-06T00:00:00"/>
    <s v="PK006"/>
    <x v="6"/>
    <s v="Kemasan"/>
    <x v="32"/>
    <n v="70"/>
    <n v="0"/>
    <n v="140"/>
    <n v="210"/>
    <s v="Pcs"/>
    <s v="Restock Kemasan"/>
  </r>
  <r>
    <d v="2025-03-07T00:00:00"/>
    <s v="RM005"/>
    <x v="5"/>
    <s v="Bahan Baku"/>
    <x v="5"/>
    <n v="0"/>
    <n v="200"/>
    <n v="1140"/>
    <n v="940"/>
    <s v="Kg"/>
    <s v="Digunakan Produksi"/>
  </r>
  <r>
    <d v="2025-03-08T00:00:00"/>
    <s v="PK003"/>
    <x v="20"/>
    <s v="Kemasan"/>
    <x v="4"/>
    <n v="900"/>
    <n v="0"/>
    <n v="6050"/>
    <n v="6950"/>
    <s v="Pcs"/>
    <s v="Restock Kemasan"/>
  </r>
  <r>
    <d v="2025-03-08T00:00:00"/>
    <s v="RM003"/>
    <x v="17"/>
    <s v="Bahan Baku"/>
    <x v="0"/>
    <n v="0"/>
    <n v="220"/>
    <n v="1500"/>
    <n v="1280"/>
    <s v="Kg"/>
    <s v="Digunakan Produksi"/>
  </r>
  <r>
    <d v="2025-03-09T00:00:00"/>
    <s v="FG001"/>
    <x v="15"/>
    <s v="Produk"/>
    <x v="15"/>
    <n v="0"/>
    <n v="500"/>
    <n v="1500"/>
    <n v="1000"/>
    <s v="Pcs"/>
    <s v="Distribusi ke Customer"/>
  </r>
  <r>
    <d v="2025-03-09T00:00:00"/>
    <s v="PK004"/>
    <x v="8"/>
    <s v="Kemasan"/>
    <x v="10"/>
    <n v="0"/>
    <n v="600"/>
    <n v="7700"/>
    <n v="7100"/>
    <s v="Pcs"/>
    <s v="Digunakan Packaging"/>
  </r>
  <r>
    <d v="2025-03-10T00:00:00"/>
    <s v="AD004"/>
    <x v="14"/>
    <s v="Bahan Tambahan"/>
    <x v="9"/>
    <n v="0"/>
    <n v="110"/>
    <n v="490"/>
    <n v="380"/>
    <s v="Kg"/>
    <s v="Digunakan Produksi"/>
  </r>
  <r>
    <d v="2025-03-10T00:00:00"/>
    <s v="RM001"/>
    <x v="10"/>
    <s v="Bahan Baku"/>
    <x v="11"/>
    <n v="600"/>
    <n v="0"/>
    <n v="1650"/>
    <n v="2250"/>
    <s v="Kg"/>
    <s v="Restock Bahan Baku"/>
  </r>
  <r>
    <d v="2025-03-11T00:00:00"/>
    <s v="AD001"/>
    <x v="11"/>
    <s v="Bahan Tambahan"/>
    <x v="13"/>
    <n v="0"/>
    <n v="120"/>
    <n v="360"/>
    <n v="240"/>
    <s v="Kg"/>
    <s v="Digunakan Produksi"/>
  </r>
  <r>
    <d v="2025-03-11T00:00:00"/>
    <s v="AD005"/>
    <x v="7"/>
    <s v="Bahan Tambahan"/>
    <x v="31"/>
    <n v="0"/>
    <n v="20"/>
    <n v="350"/>
    <n v="330"/>
    <s v="Kg"/>
    <s v="Digunakan Produksi"/>
  </r>
  <r>
    <d v="2025-03-11T00:00:00"/>
    <s v="RM004"/>
    <x v="19"/>
    <s v="Bahan Baku"/>
    <x v="0"/>
    <n v="0"/>
    <n v="300"/>
    <n v="1500"/>
    <n v="1200"/>
    <s v="Kg"/>
    <s v="Digunakan Produksi"/>
  </r>
  <r>
    <d v="2025-03-12T00:00:00"/>
    <s v="AD002"/>
    <x v="12"/>
    <s v="Bahan Tambahan"/>
    <x v="14"/>
    <n v="0"/>
    <n v="90"/>
    <n v="455"/>
    <n v="365"/>
    <s v="Kg"/>
    <s v="Digunakan Produksi"/>
  </r>
  <r>
    <d v="2025-03-12T00:00:00"/>
    <s v="FG004"/>
    <x v="1"/>
    <s v="Produk"/>
    <x v="0"/>
    <n v="0"/>
    <n v="300"/>
    <n v="1600"/>
    <n v="1300"/>
    <s v="Pcs"/>
    <s v="Distribusi ke Customer"/>
  </r>
  <r>
    <d v="2025-03-12T00:00:00"/>
    <s v="PK005"/>
    <x v="18"/>
    <s v="Kemasan"/>
    <x v="16"/>
    <n v="0"/>
    <n v="450"/>
    <n v="2000"/>
    <n v="1550"/>
    <s v="Pcs"/>
    <s v="Digunakan Packaging"/>
  </r>
  <r>
    <d v="2025-03-12T00:00:00"/>
    <s v="RM002"/>
    <x v="9"/>
    <s v="Bahan Baku"/>
    <x v="11"/>
    <n v="0"/>
    <n v="400"/>
    <n v="2000"/>
    <n v="1600"/>
    <s v="Kg"/>
    <s v="Digunakan Produksi"/>
  </r>
  <r>
    <d v="2025-03-13T00:00:00"/>
    <s v="PK006"/>
    <x v="6"/>
    <s v="Kemasan"/>
    <x v="8"/>
    <n v="0"/>
    <n v="60"/>
    <n v="210"/>
    <n v="150"/>
    <s v="Pcs"/>
    <s v="Digunakan Packaging"/>
  </r>
  <r>
    <d v="2025-03-14T00:00:00"/>
    <s v="FG002"/>
    <x v="16"/>
    <s v="Produk"/>
    <x v="1"/>
    <n v="0"/>
    <n v="600"/>
    <n v="1250"/>
    <n v="650"/>
    <s v="Pcs"/>
    <s v="Distribusi ke Customer"/>
  </r>
  <r>
    <d v="2025-03-14T00:00:00"/>
    <s v="RM005"/>
    <x v="5"/>
    <s v="Bahan Baku"/>
    <x v="11"/>
    <n v="300"/>
    <n v="0"/>
    <n v="940"/>
    <n v="1240"/>
    <s v="Kg"/>
    <s v="Restock Bahan Baku"/>
  </r>
  <r>
    <d v="2025-03-15T00:00:00"/>
    <s v="AD003"/>
    <x v="13"/>
    <s v="Bahan Tambahan"/>
    <x v="1"/>
    <n v="0"/>
    <n v="170"/>
    <n v="850"/>
    <n v="680"/>
    <s v="Kg"/>
    <s v="Digunakan Produksi"/>
  </r>
  <r>
    <d v="2025-03-15T00:00:00"/>
    <s v="FG001"/>
    <x v="15"/>
    <s v="Produk"/>
    <x v="20"/>
    <n v="600"/>
    <n v="0"/>
    <n v="1000"/>
    <n v="1600"/>
    <s v="Pcs"/>
    <s v="Hasil Produksi"/>
  </r>
  <r>
    <d v="2025-03-15T00:00:00"/>
    <s v="FG004"/>
    <x v="1"/>
    <s v="Produk"/>
    <x v="1"/>
    <n v="500"/>
    <n v="0"/>
    <n v="1300"/>
    <n v="1800"/>
    <s v="Pcs"/>
    <s v="Hasil Produksi"/>
  </r>
  <r>
    <d v="2025-03-16T00:00:00"/>
    <s v="RM003"/>
    <x v="17"/>
    <s v="Bahan Baku"/>
    <x v="5"/>
    <n v="300"/>
    <n v="0"/>
    <n v="1280"/>
    <n v="1580"/>
    <s v="Kg"/>
    <s v="Restock Bahan Baku"/>
  </r>
  <r>
    <d v="2025-03-17T00:00:00"/>
    <s v="FG005"/>
    <x v="2"/>
    <s v="Produk"/>
    <x v="6"/>
    <n v="550"/>
    <n v="0"/>
    <n v="1850"/>
    <n v="2400"/>
    <s v="Pcs"/>
    <s v="Hasil Produksi"/>
  </r>
  <r>
    <d v="2025-03-17T00:00:00"/>
    <s v="PK001"/>
    <x v="3"/>
    <s v="Kemasan"/>
    <x v="3"/>
    <n v="300"/>
    <n v="0"/>
    <n v="1750"/>
    <n v="2050"/>
    <s v="Pcs"/>
    <s v="Restock Kemasan"/>
  </r>
  <r>
    <d v="2025-03-17T00:00:00"/>
    <s v="PK004"/>
    <x v="8"/>
    <s v="Kemasan"/>
    <x v="21"/>
    <n v="700"/>
    <n v="0"/>
    <n v="7100"/>
    <n v="7800"/>
    <s v="Pcs"/>
    <s v="Restock Kemasan"/>
  </r>
  <r>
    <d v="2025-03-17T00:00:00"/>
    <s v="RM002"/>
    <x v="9"/>
    <s v="Bahan Baku"/>
    <x v="0"/>
    <n v="350"/>
    <n v="0"/>
    <n v="1600"/>
    <n v="1950"/>
    <s v="Kg"/>
    <s v="Restock Bahan Baku"/>
  </r>
  <r>
    <d v="2025-03-18T00:00:00"/>
    <s v="AD002"/>
    <x v="12"/>
    <s v="Bahan Tambahan"/>
    <x v="23"/>
    <n v="120"/>
    <n v="0"/>
    <n v="365"/>
    <n v="485"/>
    <s v="Kg"/>
    <s v="Restock Bahan Tambahan"/>
  </r>
  <r>
    <d v="2025-03-18T00:00:00"/>
    <s v="AD004"/>
    <x v="14"/>
    <s v="Bahan Tambahan"/>
    <x v="19"/>
    <n v="130"/>
    <n v="0"/>
    <n v="380"/>
    <n v="510"/>
    <s v="Kg"/>
    <s v="Restock Bahan Tambahan"/>
  </r>
  <r>
    <d v="2025-03-18T00:00:00"/>
    <s v="FG005"/>
    <x v="2"/>
    <s v="Produk"/>
    <x v="5"/>
    <n v="0"/>
    <n v="500"/>
    <n v="2400"/>
    <n v="1900"/>
    <s v="Pcs"/>
    <s v="Distribusi ke Customer"/>
  </r>
  <r>
    <d v="2025-03-19T00:00:00"/>
    <s v="AD001"/>
    <x v="11"/>
    <s v="Bahan Tambahan"/>
    <x v="18"/>
    <n v="90"/>
    <n v="0"/>
    <n v="240"/>
    <n v="330"/>
    <s v="Kg"/>
    <s v="Restock Bahan Tambahan"/>
  </r>
  <r>
    <d v="2025-03-19T00:00:00"/>
    <s v="AD005"/>
    <x v="7"/>
    <s v="Bahan Tambahan"/>
    <x v="9"/>
    <n v="45"/>
    <n v="0"/>
    <n v="330"/>
    <n v="375"/>
    <s v="Kg"/>
    <s v="Restock Bahan Tambahan"/>
  </r>
  <r>
    <d v="2025-03-19T00:00:00"/>
    <s v="PK002"/>
    <x v="4"/>
    <s v="Kemasan"/>
    <x v="4"/>
    <n v="0"/>
    <n v="500"/>
    <n v="8150"/>
    <n v="7650"/>
    <s v="Pcs"/>
    <s v="Digunakan Packaging"/>
  </r>
  <r>
    <d v="2025-03-19T00:00:00"/>
    <s v="RM001"/>
    <x v="10"/>
    <s v="Bahan Baku"/>
    <x v="5"/>
    <n v="0"/>
    <n v="400"/>
    <n v="2250"/>
    <n v="1850"/>
    <s v="Kg"/>
    <s v="Digunakan Produksi"/>
  </r>
  <r>
    <d v="2025-03-19T00:00:00"/>
    <s v="RM004"/>
    <x v="19"/>
    <s v="Bahan Baku"/>
    <x v="11"/>
    <n v="350"/>
    <n v="0"/>
    <n v="1200"/>
    <n v="1550"/>
    <s v="Kg"/>
    <s v="Restock Bahan Baku"/>
  </r>
  <r>
    <d v="2025-03-20T00:00:00"/>
    <s v="FG005"/>
    <x v="2"/>
    <s v="Produk"/>
    <x v="2"/>
    <n v="600"/>
    <n v="0"/>
    <n v="1900"/>
    <n v="2500"/>
    <s v="Pcs"/>
    <s v="Hasil Produksi"/>
  </r>
  <r>
    <d v="2025-03-20T00:00:00"/>
    <s v="PK001"/>
    <x v="3"/>
    <s v="Kemasan"/>
    <x v="4"/>
    <n v="0"/>
    <n v="180"/>
    <n v="2050"/>
    <n v="1870"/>
    <s v="Pcs"/>
    <s v="Digunakan Packaging"/>
  </r>
  <r>
    <d v="2025-03-20T00:00:00"/>
    <s v="PK002"/>
    <x v="4"/>
    <s v="Kemasan"/>
    <x v="7"/>
    <n v="800"/>
    <n v="0"/>
    <n v="7650"/>
    <n v="8450"/>
    <s v="Pcs"/>
    <s v="Restock Kemasan"/>
  </r>
  <r>
    <d v="2025-03-20T00:00:00"/>
    <s v="PK005"/>
    <x v="18"/>
    <s v="Kemasan"/>
    <x v="30"/>
    <n v="400"/>
    <n v="0"/>
    <n v="1550"/>
    <n v="1950"/>
    <s v="Pcs"/>
    <s v="Restock Kemasan"/>
  </r>
  <r>
    <d v="2025-03-22T00:00:00"/>
    <s v="AD003"/>
    <x v="13"/>
    <s v="Bahan Tambahan"/>
    <x v="0"/>
    <n v="160"/>
    <n v="0"/>
    <n v="680"/>
    <n v="840"/>
    <s v="Kg"/>
    <s v="Restock Bahan Tambahan"/>
  </r>
  <r>
    <d v="2025-03-22T00:00:00"/>
    <s v="FG002"/>
    <x v="16"/>
    <s v="Produk"/>
    <x v="0"/>
    <n v="700"/>
    <n v="0"/>
    <n v="650"/>
    <n v="1350"/>
    <s v="Pcs"/>
    <s v="Hasil Produksi"/>
  </r>
  <r>
    <d v="2025-03-22T00:00:00"/>
    <s v="FG003"/>
    <x v="0"/>
    <s v="Produk"/>
    <x v="1"/>
    <n v="500"/>
    <n v="0"/>
    <n v="1700"/>
    <n v="2200"/>
    <s v="Pcs"/>
    <s v="Hasil Produksi"/>
  </r>
  <r>
    <d v="2025-03-22T00:00:00"/>
    <s v="PK001"/>
    <x v="3"/>
    <s v="Kemasan"/>
    <x v="10"/>
    <n v="400"/>
    <n v="0"/>
    <n v="1870"/>
    <n v="2270"/>
    <s v="Pcs"/>
    <s v="Restock Kemasan"/>
  </r>
  <r>
    <d v="2025-03-22T00:00:00"/>
    <s v="PK006"/>
    <x v="6"/>
    <s v="Kemasan"/>
    <x v="17"/>
    <n v="50"/>
    <n v="0"/>
    <n v="150"/>
    <n v="200"/>
    <s v="Pcs"/>
    <s v="Restock Kemasan"/>
  </r>
  <r>
    <d v="2025-03-23T00:00:00"/>
    <s v="FG001"/>
    <x v="15"/>
    <s v="Produk"/>
    <x v="24"/>
    <n v="0"/>
    <n v="700"/>
    <n v="1600"/>
    <n v="900"/>
    <s v="Pcs"/>
    <s v="Distribusi ke Customer"/>
  </r>
  <r>
    <d v="2025-03-23T00:00:00"/>
    <s v="FG003"/>
    <x v="0"/>
    <s v="Produk"/>
    <x v="0"/>
    <n v="0"/>
    <n v="400"/>
    <n v="2200"/>
    <n v="1800"/>
    <s v="Pcs"/>
    <s v="Distribusi ke Customer"/>
  </r>
  <r>
    <d v="2025-03-23T00:00:00"/>
    <s v="PK002"/>
    <x v="4"/>
    <s v="Kemasan"/>
    <x v="12"/>
    <n v="0"/>
    <n v="450"/>
    <n v="8450"/>
    <n v="8000"/>
    <s v="Pcs"/>
    <s v="Digunakan Packaging"/>
  </r>
  <r>
    <d v="2025-03-24T00:00:00"/>
    <s v="FG003"/>
    <x v="0"/>
    <s v="Produk"/>
    <x v="5"/>
    <n v="550"/>
    <n v="0"/>
    <n v="1800"/>
    <n v="2350"/>
    <s v="Pcs"/>
    <s v="Hasil Produksi"/>
  </r>
  <r>
    <d v="2025-03-25T00:00:00"/>
    <s v="PK001"/>
    <x v="3"/>
    <s v="Kemasan"/>
    <x v="3"/>
    <n v="0"/>
    <n v="220"/>
    <n v="2270"/>
    <n v="2050"/>
    <s v="Pcs"/>
    <s v="Digunakan Packaging"/>
  </r>
  <r>
    <d v="2025-03-25T00:00:00"/>
    <s v="PK002"/>
    <x v="4"/>
    <s v="Kemasan"/>
    <x v="4"/>
    <n v="900"/>
    <n v="0"/>
    <n v="8000"/>
    <n v="8900"/>
    <s v="Pcs"/>
    <s v="Restock Kemasan"/>
  </r>
  <r>
    <d v="2025-03-25T00:00:00"/>
    <s v="PK005"/>
    <x v="18"/>
    <s v="Kemasan"/>
    <x v="30"/>
    <n v="0"/>
    <n v="300"/>
    <n v="1950"/>
    <n v="1650"/>
    <s v="Pcs"/>
    <s v="Digunakan Packaging"/>
  </r>
  <r>
    <d v="2025-03-25T00:00:00"/>
    <s v="RM002"/>
    <x v="9"/>
    <s v="Bahan Baku"/>
    <x v="5"/>
    <n v="0"/>
    <n v="300"/>
    <n v="1950"/>
    <n v="1650"/>
    <s v="Kg"/>
    <s v="Digunakan Produksi"/>
  </r>
  <r>
    <d v="2025-03-26T00:00:00"/>
    <s v="AD004"/>
    <x v="14"/>
    <s v="Bahan Tambahan"/>
    <x v="27"/>
    <n v="0"/>
    <n v="120"/>
    <n v="510"/>
    <n v="390"/>
    <s v="Kg"/>
    <s v="Digunakan Produksi"/>
  </r>
  <r>
    <d v="2025-03-26T00:00:00"/>
    <s v="FG003"/>
    <x v="0"/>
    <s v="Produk"/>
    <x v="1"/>
    <n v="0"/>
    <n v="500"/>
    <n v="2350"/>
    <n v="1850"/>
    <s v="Pcs"/>
    <s v="Distribusi ke Customer"/>
  </r>
  <r>
    <d v="2025-03-26T00:00:00"/>
    <s v="RM004"/>
    <x v="19"/>
    <s v="Bahan Baku"/>
    <x v="28"/>
    <n v="0"/>
    <n v="250"/>
    <n v="1550"/>
    <n v="1300"/>
    <s v="Kg"/>
    <s v="Digunakan Produksi"/>
  </r>
  <r>
    <d v="2025-03-27T00:00:00"/>
    <s v="AD001"/>
    <x v="11"/>
    <s v="Bahan Tambahan"/>
    <x v="26"/>
    <n v="0"/>
    <n v="80"/>
    <n v="330"/>
    <n v="250"/>
    <s v="Kg"/>
    <s v="Digunakan Produksi"/>
  </r>
  <r>
    <d v="2025-03-27T00:00:00"/>
    <s v="AD002"/>
    <x v="12"/>
    <s v="Bahan Tambahan"/>
    <x v="29"/>
    <n v="0"/>
    <n v="75"/>
    <n v="485"/>
    <n v="410"/>
    <s v="Kg"/>
    <s v="Digunakan Produksi"/>
  </r>
  <r>
    <d v="2025-03-27T00:00:00"/>
    <s v="AD005"/>
    <x v="7"/>
    <s v="Bahan Tambahan"/>
    <x v="22"/>
    <n v="0"/>
    <n v="25"/>
    <n v="375"/>
    <n v="350"/>
    <s v="Kg"/>
    <s v="Digunakan Produksi"/>
  </r>
  <r>
    <d v="2025-03-27T00:00:00"/>
    <s v="FG003"/>
    <x v="0"/>
    <s v="Produk"/>
    <x v="0"/>
    <n v="600"/>
    <n v="0"/>
    <n v="1850"/>
    <n v="2450"/>
    <s v="Pcs"/>
    <s v="Hasil Produksi"/>
  </r>
  <r>
    <d v="2025-03-27T00:00:00"/>
    <s v="PK003"/>
    <x v="20"/>
    <s v="Kemasan"/>
    <x v="3"/>
    <n v="0"/>
    <n v="300"/>
    <n v="6950"/>
    <n v="6650"/>
    <s v="Pcs"/>
    <s v="Digunakan Packaging"/>
  </r>
  <r>
    <d v="2025-03-27T00:00:00"/>
    <s v="RM003"/>
    <x v="17"/>
    <s v="Bahan Baku"/>
    <x v="0"/>
    <n v="0"/>
    <n v="260"/>
    <n v="1580"/>
    <n v="1320"/>
    <s v="Kg"/>
    <s v="Digunakan Produksi"/>
  </r>
  <r>
    <d v="2025-03-28T00:00:00"/>
    <s v="AD003"/>
    <x v="13"/>
    <s v="Bahan Tambahan"/>
    <x v="5"/>
    <n v="0"/>
    <n v="140"/>
    <n v="840"/>
    <n v="700"/>
    <s v="Kg"/>
    <s v="Digunakan Produksi"/>
  </r>
  <r>
    <d v="2025-03-28T00:00:00"/>
    <s v="PK004"/>
    <x v="8"/>
    <s v="Kemasan"/>
    <x v="25"/>
    <n v="0"/>
    <n v="500"/>
    <n v="7800"/>
    <n v="7300"/>
    <s v="Pcs"/>
    <s v="Digunakan Packaging"/>
  </r>
  <r>
    <d v="2025-03-28T00:00:00"/>
    <s v="RM005"/>
    <x v="5"/>
    <s v="Bahan Baku"/>
    <x v="11"/>
    <n v="0"/>
    <n v="170"/>
    <n v="1240"/>
    <n v="1070"/>
    <s v="Kg"/>
    <s v="Digunakan Produksi"/>
  </r>
  <r>
    <d v="2025-03-29T00:00:00"/>
    <s v="FG003"/>
    <x v="0"/>
    <s v="Produk"/>
    <x v="5"/>
    <n v="0"/>
    <n v="550"/>
    <n v="2450"/>
    <n v="1900"/>
    <s v="Pcs"/>
    <s v="Distribusi ke Customer"/>
  </r>
  <r>
    <d v="2025-03-29T00:00:00"/>
    <s v="PK006"/>
    <x v="6"/>
    <s v="Kemasan"/>
    <x v="32"/>
    <n v="0"/>
    <n v="30"/>
    <n v="200"/>
    <n v="170"/>
    <s v="Pcs"/>
    <s v="Digunakan Packaging"/>
  </r>
  <r>
    <d v="2025-03-30T00:00:00"/>
    <s v="FG002"/>
    <x v="16"/>
    <s v="Produk"/>
    <x v="5"/>
    <n v="0"/>
    <n v="500"/>
    <n v="1350"/>
    <n v="850"/>
    <s v="Pcs"/>
    <s v="Distribusi ke Customer"/>
  </r>
  <r>
    <d v="2025-03-30T00:00:00"/>
    <s v="FG003"/>
    <x v="0"/>
    <s v="Produk"/>
    <x v="1"/>
    <n v="650"/>
    <n v="0"/>
    <n v="1900"/>
    <n v="2550"/>
    <s v="Pcs"/>
    <s v="Hasil Produksi"/>
  </r>
  <r>
    <d v="2025-03-31T00:00:00"/>
    <s v="RM001"/>
    <x v="10"/>
    <s v="Bahan Baku"/>
    <x v="0"/>
    <n v="450"/>
    <n v="0"/>
    <n v="1850"/>
    <n v="2300"/>
    <s v="Kg"/>
    <s v="Restock Bahan Baku"/>
  </r>
  <r>
    <d v="2025-04-01T00:00:00"/>
    <s v="FG003"/>
    <x v="0"/>
    <s v="Produk"/>
    <x v="0"/>
    <n v="0"/>
    <n v="500"/>
    <n v="2550"/>
    <n v="2050"/>
    <s v="Pcs"/>
    <s v="Distribusi ke Customer"/>
  </r>
  <r>
    <d v="2025-04-01T00:00:00"/>
    <s v="PK005"/>
    <x v="18"/>
    <s v="Kemasan"/>
    <x v="16"/>
    <n v="600"/>
    <n v="0"/>
    <n v="1650"/>
    <n v="2250"/>
    <s v="Pcs"/>
    <s v="Restock Kemasan"/>
  </r>
  <r>
    <d v="2025-04-01T00:00:00"/>
    <s v="RM002"/>
    <x v="9"/>
    <s v="Bahan Baku"/>
    <x v="0"/>
    <n v="450"/>
    <n v="0"/>
    <n v="1650"/>
    <n v="2100"/>
    <s v="Kg"/>
    <s v="Restock Bahan Baku"/>
  </r>
  <r>
    <d v="2025-04-02T00:00:00"/>
    <s v="AD004"/>
    <x v="14"/>
    <s v="Bahan Tambahan"/>
    <x v="9"/>
    <n v="160"/>
    <n v="0"/>
    <n v="390"/>
    <n v="550"/>
    <s v="Kg"/>
    <s v="Restock Bahan Tambahan"/>
  </r>
  <r>
    <d v="2025-04-02T00:00:00"/>
    <s v="AD005"/>
    <x v="7"/>
    <s v="Bahan Tambahan"/>
    <x v="31"/>
    <n v="50"/>
    <n v="0"/>
    <n v="350"/>
    <n v="400"/>
    <s v="Kg"/>
    <s v="Restock Bahan Tambahan"/>
  </r>
  <r>
    <d v="2025-04-02T00:00:00"/>
    <s v="FG001"/>
    <x v="15"/>
    <s v="Produk"/>
    <x v="15"/>
    <n v="500"/>
    <n v="0"/>
    <n v="900"/>
    <n v="1400"/>
    <s v="Pcs"/>
    <s v="Hasil Produksi"/>
  </r>
  <r>
    <d v="2025-04-02T00:00:00"/>
    <s v="FG002"/>
    <x v="16"/>
    <s v="Produk"/>
    <x v="1"/>
    <n v="600"/>
    <n v="0"/>
    <n v="850"/>
    <n v="1450"/>
    <s v="Pcs"/>
    <s v="Hasil Produksi"/>
  </r>
  <r>
    <d v="2025-04-02T00:00:00"/>
    <s v="FG003"/>
    <x v="0"/>
    <s v="Produk"/>
    <x v="5"/>
    <n v="600"/>
    <n v="0"/>
    <n v="2050"/>
    <n v="2650"/>
    <s v="Pcs"/>
    <s v="Hasil Produksi"/>
  </r>
  <r>
    <d v="2025-04-02T00:00:00"/>
    <s v="RM003"/>
    <x v="17"/>
    <s v="Bahan Baku"/>
    <x v="11"/>
    <n v="250"/>
    <n v="0"/>
    <n v="1320"/>
    <n v="1570"/>
    <s v="Kg"/>
    <s v="Restock Bahan Baku"/>
  </r>
  <r>
    <d v="2025-04-03T00:00:00"/>
    <s v="RM005"/>
    <x v="5"/>
    <s v="Bahan Baku"/>
    <x v="0"/>
    <n v="280"/>
    <n v="0"/>
    <n v="1070"/>
    <n v="1350"/>
    <s v="Kg"/>
    <s v="Restock Bahan Baku"/>
  </r>
  <r>
    <d v="2025-04-04T00:00:00"/>
    <s v="AD003"/>
    <x v="13"/>
    <s v="Bahan Tambahan"/>
    <x v="1"/>
    <n v="180"/>
    <n v="0"/>
    <n v="700"/>
    <n v="880"/>
    <s v="Kg"/>
    <s v="Restock Bahan Tambahan"/>
  </r>
  <r>
    <d v="2025-04-04T00:00:00"/>
    <s v="FG003"/>
    <x v="0"/>
    <s v="Produk"/>
    <x v="1"/>
    <n v="0"/>
    <n v="550"/>
    <n v="2650"/>
    <n v="2100"/>
    <s v="Pcs"/>
    <s v="Distribusi ke Customer"/>
  </r>
  <r>
    <d v="2025-04-04T00:00:00"/>
    <s v="PK004"/>
    <x v="8"/>
    <s v="Kemasan"/>
    <x v="10"/>
    <n v="900"/>
    <n v="0"/>
    <n v="7300"/>
    <n v="8200"/>
    <s v="Pcs"/>
    <s v="Restock Kemasan"/>
  </r>
  <r>
    <d v="2025-04-05T00:00:00"/>
    <s v="PK006"/>
    <x v="6"/>
    <s v="Kemasan"/>
    <x v="8"/>
    <n v="60"/>
    <n v="0"/>
    <n v="170"/>
    <n v="230"/>
    <s v="Pcs"/>
    <s v="Restock Kemasan"/>
  </r>
  <r>
    <d v="2025-04-05T00:00:00"/>
    <s v="RM004"/>
    <x v="19"/>
    <s v="Bahan Baku"/>
    <x v="0"/>
    <n v="300"/>
    <n v="0"/>
    <n v="1300"/>
    <n v="1600"/>
    <s v="Kg"/>
    <s v="Restock Bahan Baku"/>
  </r>
  <r>
    <d v="2025-04-06T00:00:00"/>
    <s v="AD001"/>
    <x v="11"/>
    <s v="Bahan Tambahan"/>
    <x v="13"/>
    <n v="130"/>
    <n v="0"/>
    <n v="250"/>
    <n v="380"/>
    <s v="Kg"/>
    <s v="Restock Bahan Tambahan"/>
  </r>
  <r>
    <d v="2025-04-06T00:00:00"/>
    <s v="AD002"/>
    <x v="12"/>
    <s v="Bahan Tambahan"/>
    <x v="14"/>
    <n v="100"/>
    <n v="0"/>
    <n v="410"/>
    <n v="510"/>
    <s v="Kg"/>
    <s v="Restock Bahan Tambahan"/>
  </r>
  <r>
    <d v="2025-04-06T00:00:00"/>
    <s v="FG003"/>
    <x v="0"/>
    <s v="Produk"/>
    <x v="0"/>
    <n v="650"/>
    <n v="0"/>
    <n v="2100"/>
    <n v="2750"/>
    <s v="Pcs"/>
    <s v="Hasil Produksi"/>
  </r>
  <r>
    <d v="2025-04-07T00:00:00"/>
    <s v="FG003"/>
    <x v="0"/>
    <s v="Produk"/>
    <x v="5"/>
    <n v="0"/>
    <n v="500"/>
    <n v="2750"/>
    <n v="2250"/>
    <s v="Pcs"/>
    <s v="Distribusi ke Customer"/>
  </r>
  <r>
    <d v="2025-04-07T00:00:00"/>
    <s v="RM001"/>
    <x v="10"/>
    <s v="Bahan Baku"/>
    <x v="11"/>
    <n v="0"/>
    <n v="350"/>
    <n v="2300"/>
    <n v="1950"/>
    <s v="Kg"/>
    <s v="Digunakan Produksi"/>
  </r>
  <r>
    <d v="2025-04-08T00:00:00"/>
    <s v="RM002"/>
    <x v="9"/>
    <s v="Bahan Baku"/>
    <x v="11"/>
    <n v="0"/>
    <n v="350"/>
    <n v="2100"/>
    <n v="1750"/>
    <s v="Kg"/>
    <s v="Digunakan Produksi"/>
  </r>
  <r>
    <d v="2025-04-09T00:00:00"/>
    <s v="AD004"/>
    <x v="14"/>
    <s v="Bahan Tambahan"/>
    <x v="19"/>
    <n v="0"/>
    <n v="140"/>
    <n v="550"/>
    <n v="410"/>
    <s v="Kg"/>
    <s v="Digunakan Produksi"/>
  </r>
  <r>
    <d v="2025-04-09T00:00:00"/>
    <s v="AD005"/>
    <x v="7"/>
    <s v="Bahan Tambahan"/>
    <x v="9"/>
    <n v="0"/>
    <n v="30"/>
    <n v="400"/>
    <n v="370"/>
    <s v="Kg"/>
    <s v="Digunakan Produksi"/>
  </r>
  <r>
    <d v="2025-04-09T00:00:00"/>
    <s v="FG002"/>
    <x v="16"/>
    <s v="Produk"/>
    <x v="0"/>
    <n v="0"/>
    <n v="450"/>
    <n v="1450"/>
    <n v="1000"/>
    <s v="Pcs"/>
    <s v="Distribusi ke Customer"/>
  </r>
  <r>
    <d v="2025-04-09T00:00:00"/>
    <s v="FG003"/>
    <x v="0"/>
    <s v="Produk"/>
    <x v="1"/>
    <n v="600"/>
    <n v="0"/>
    <n v="2250"/>
    <n v="2850"/>
    <s v="Pcs"/>
    <s v="Hasil Produksi"/>
  </r>
  <r>
    <d v="2025-04-09T00:00:00"/>
    <s v="PK005"/>
    <x v="18"/>
    <s v="Kemasan"/>
    <x v="16"/>
    <n v="0"/>
    <n v="500"/>
    <n v="2250"/>
    <n v="1750"/>
    <s v="Pcs"/>
    <s v="Digunakan Packaging"/>
  </r>
  <r>
    <d v="2025-04-10T00:00:00"/>
    <s v="FG001"/>
    <x v="15"/>
    <s v="Produk"/>
    <x v="20"/>
    <n v="0"/>
    <n v="400"/>
    <n v="1400"/>
    <n v="1000"/>
    <s v="Pcs"/>
    <s v="Distribusi ke Customer"/>
  </r>
  <r>
    <d v="2025-04-10T00:00:00"/>
    <s v="FG003"/>
    <x v="0"/>
    <s v="Produk"/>
    <x v="0"/>
    <n v="0"/>
    <n v="550"/>
    <n v="2850"/>
    <n v="2300"/>
    <s v="Pcs"/>
    <s v="Distribusi ke Customer"/>
  </r>
  <r>
    <d v="2025-04-10T00:00:00"/>
    <s v="RM003"/>
    <x v="17"/>
    <s v="Bahan Baku"/>
    <x v="0"/>
    <n v="0"/>
    <n v="200"/>
    <n v="1570"/>
    <n v="1370"/>
    <s v="Kg"/>
    <s v="Digunakan Produksi"/>
  </r>
  <r>
    <d v="2025-04-11T00:00:00"/>
    <s v="PK003"/>
    <x v="20"/>
    <s v="Kemasan"/>
    <x v="33"/>
    <n v="1200"/>
    <n v="0"/>
    <n v="6650"/>
    <n v="7850"/>
    <s v="Pcs"/>
    <s v="Restock Kemasan"/>
  </r>
  <r>
    <d v="2025-04-12T00:00:00"/>
    <s v="AD003"/>
    <x v="13"/>
    <s v="Bahan Tambahan"/>
    <x v="0"/>
    <n v="0"/>
    <n v="200"/>
    <n v="880"/>
    <n v="680"/>
    <s v="Kg"/>
    <s v="Digunakan Produksi"/>
  </r>
  <r>
    <d v="2025-04-12T00:00:00"/>
    <s v="FG003"/>
    <x v="0"/>
    <s v="Produk"/>
    <x v="5"/>
    <n v="650"/>
    <n v="0"/>
    <n v="2300"/>
    <n v="2950"/>
    <s v="Pcs"/>
    <s v="Hasil Produksi"/>
  </r>
  <r>
    <d v="2025-04-12T00:00:00"/>
    <s v="PK006"/>
    <x v="6"/>
    <s v="Kemasan"/>
    <x v="32"/>
    <n v="0"/>
    <n v="50"/>
    <n v="230"/>
    <n v="180"/>
    <s v="Pcs"/>
    <s v="Digunakan Packaging"/>
  </r>
  <r>
    <d v="2025-04-12T00:00:00"/>
    <s v="RM005"/>
    <x v="5"/>
    <s v="Bahan Baku"/>
    <x v="0"/>
    <n v="0"/>
    <n v="210"/>
    <n v="1350"/>
    <n v="1140"/>
    <s v="Kg"/>
    <s v="Digunakan Produksi"/>
  </r>
  <r>
    <d v="2025-04-13T00:00:00"/>
    <s v="AD001"/>
    <x v="11"/>
    <s v="Bahan Tambahan"/>
    <x v="18"/>
    <n v="0"/>
    <n v="100"/>
    <n v="380"/>
    <n v="280"/>
    <s v="Kg"/>
    <s v="Digunakan Produksi"/>
  </r>
  <r>
    <d v="2025-04-13T00:00:00"/>
    <s v="FG003"/>
    <x v="0"/>
    <s v="Produk"/>
    <x v="1"/>
    <n v="0"/>
    <n v="600"/>
    <n v="2950"/>
    <n v="2350"/>
    <s v="Pcs"/>
    <s v="Distribusi ke Customer"/>
  </r>
  <r>
    <d v="2025-04-13T00:00:00"/>
    <s v="PK004"/>
    <x v="8"/>
    <s v="Kemasan"/>
    <x v="21"/>
    <n v="0"/>
    <n v="450"/>
    <n v="8200"/>
    <n v="7750"/>
    <s v="Pcs"/>
    <s v="Digunakan Packaging"/>
  </r>
  <r>
    <d v="2025-04-14T00:00:00"/>
    <s v="AD002"/>
    <x v="12"/>
    <s v="Bahan Tambahan"/>
    <x v="23"/>
    <n v="0"/>
    <n v="95"/>
    <n v="510"/>
    <n v="415"/>
    <s v="Kg"/>
    <s v="Digunakan Produksi"/>
  </r>
  <r>
    <d v="2025-04-14T00:00:00"/>
    <s v="RM004"/>
    <x v="19"/>
    <s v="Bahan Baku"/>
    <x v="11"/>
    <n v="0"/>
    <n v="200"/>
    <n v="1600"/>
    <n v="1400"/>
    <s v="Kg"/>
    <s v="Digunakan Produksi"/>
  </r>
  <r>
    <d v="2025-04-15T00:00:00"/>
    <s v="RM002"/>
    <x v="9"/>
    <s v="Bahan Baku"/>
    <x v="5"/>
    <n v="300"/>
    <n v="0"/>
    <n v="1750"/>
    <n v="2050"/>
    <s v="Kg"/>
    <s v="Restock Bahan Baku"/>
  </r>
  <r>
    <d v="2025-04-16T00:00:00"/>
    <s v="RM001"/>
    <x v="10"/>
    <s v="Bahan Baku"/>
    <x v="5"/>
    <n v="550"/>
    <n v="0"/>
    <n v="1950"/>
    <n v="2500"/>
    <s v="Kg"/>
    <s v="Restock Bahan Baku"/>
  </r>
  <r>
    <d v="2025-04-17T00:00:00"/>
    <s v="AD005"/>
    <x v="7"/>
    <s v="Bahan Tambahan"/>
    <x v="22"/>
    <n v="40"/>
    <n v="0"/>
    <n v="370"/>
    <n v="410"/>
    <s v="Kg"/>
    <s v="Restock Bahan Tambahan"/>
  </r>
  <r>
    <d v="2025-04-17T00:00:00"/>
    <s v="FG002"/>
    <x v="16"/>
    <s v="Produk"/>
    <x v="5"/>
    <n v="500"/>
    <n v="0"/>
    <n v="1000"/>
    <n v="1500"/>
    <s v="Pcs"/>
    <s v="Hasil Produksi"/>
  </r>
  <r>
    <d v="2025-04-17T00:00:00"/>
    <s v="FG004"/>
    <x v="1"/>
    <s v="Produk"/>
    <x v="5"/>
    <n v="0"/>
    <n v="400"/>
    <n v="1800"/>
    <n v="1400"/>
    <s v="Pcs"/>
    <s v="Distribusi ke Customer"/>
  </r>
  <r>
    <d v="2025-04-17T00:00:00"/>
    <s v="RM005"/>
    <x v="5"/>
    <s v="Bahan Baku"/>
    <x v="5"/>
    <n v="250"/>
    <n v="0"/>
    <n v="1140"/>
    <n v="1390"/>
    <s v="Kg"/>
    <s v="Restock Bahan Baku"/>
  </r>
  <r>
    <d v="2025-04-18T00:00:00"/>
    <s v="PK005"/>
    <x v="18"/>
    <s v="Kemasan"/>
    <x v="30"/>
    <n v="300"/>
    <n v="0"/>
    <n v="1750"/>
    <n v="2050"/>
    <s v="Pcs"/>
    <s v="Restock Kemasan"/>
  </r>
  <r>
    <d v="2025-04-19T00:00:00"/>
    <s v="FG001"/>
    <x v="15"/>
    <s v="Produk"/>
    <x v="24"/>
    <n v="600"/>
    <n v="0"/>
    <n v="1000"/>
    <n v="1600"/>
    <s v="Pcs"/>
    <s v="Hasil Produksi"/>
  </r>
  <r>
    <d v="2025-04-19T00:00:00"/>
    <s v="FG004"/>
    <x v="1"/>
    <s v="Produk"/>
    <x v="0"/>
    <n v="450"/>
    <n v="0"/>
    <n v="1400"/>
    <n v="1850"/>
    <s v="Pcs"/>
    <s v="Hasil Produksi"/>
  </r>
  <r>
    <d v="2025-04-19T00:00:00"/>
    <s v="PK006"/>
    <x v="6"/>
    <s v="Kemasan"/>
    <x v="17"/>
    <n v="40"/>
    <n v="0"/>
    <n v="180"/>
    <n v="220"/>
    <s v="Pcs"/>
    <s v="Restock Kemasan"/>
  </r>
  <r>
    <d v="2025-04-20T00:00:00"/>
    <s v="AD003"/>
    <x v="13"/>
    <s v="Bahan Tambahan"/>
    <x v="5"/>
    <n v="210"/>
    <n v="0"/>
    <n v="680"/>
    <n v="890"/>
    <s v="Kg"/>
    <s v="Restock Bahan Tambahan"/>
  </r>
  <r>
    <d v="2025-04-20T00:00:00"/>
    <s v="RM003"/>
    <x v="17"/>
    <s v="Bahan Baku"/>
    <x v="11"/>
    <n v="320"/>
    <n v="0"/>
    <n v="1370"/>
    <n v="1690"/>
    <s v="Kg"/>
    <s v="Restock Bahan Baku"/>
  </r>
  <r>
    <d v="2025-04-21T00:00:00"/>
    <s v="AD001"/>
    <x v="11"/>
    <s v="Bahan Tambahan"/>
    <x v="26"/>
    <n v="95"/>
    <n v="0"/>
    <n v="280"/>
    <n v="375"/>
    <s v="Kg"/>
    <s v="Restock Bahan Tambahan"/>
  </r>
  <r>
    <d v="2025-04-21T00:00:00"/>
    <s v="AD002"/>
    <x v="12"/>
    <s v="Bahan Tambahan"/>
    <x v="29"/>
    <n v="140"/>
    <n v="0"/>
    <n v="415"/>
    <n v="555"/>
    <s v="Kg"/>
    <s v="Restock Bahan Tambahan"/>
  </r>
  <r>
    <d v="2025-04-21T00:00:00"/>
    <s v="AD004"/>
    <x v="14"/>
    <s v="Bahan Tambahan"/>
    <x v="27"/>
    <n v="120"/>
    <n v="0"/>
    <n v="410"/>
    <n v="530"/>
    <s v="Kg"/>
    <s v="Restock Bahan Tambahan"/>
  </r>
  <r>
    <d v="2025-04-21T00:00:00"/>
    <s v="FG005"/>
    <x v="2"/>
    <s v="Produk"/>
    <x v="6"/>
    <n v="0"/>
    <n v="450"/>
    <n v="2500"/>
    <n v="2050"/>
    <s v="Pcs"/>
    <s v="Distribusi ke Customer"/>
  </r>
  <r>
    <d v="2025-04-21T00:00:00"/>
    <s v="PK004"/>
    <x v="8"/>
    <s v="Kemasan"/>
    <x v="25"/>
    <n v="500"/>
    <n v="0"/>
    <n v="7750"/>
    <n v="8250"/>
    <s v="Pcs"/>
    <s v="Restock Kemasan"/>
  </r>
  <r>
    <d v="2025-04-21T00:00:00"/>
    <s v="RM004"/>
    <x v="19"/>
    <s v="Bahan Baku"/>
    <x v="28"/>
    <n v="350"/>
    <n v="0"/>
    <n v="1400"/>
    <n v="1750"/>
    <s v="Kg"/>
    <s v="Restock Bahan Baku"/>
  </r>
  <r>
    <d v="2025-04-23T00:00:00"/>
    <s v="AD005"/>
    <x v="7"/>
    <s v="Bahan Tambahan"/>
    <x v="31"/>
    <n v="0"/>
    <n v="25"/>
    <n v="410"/>
    <n v="385"/>
    <s v="Kg"/>
    <s v="Digunakan Produksi"/>
  </r>
  <r>
    <d v="2025-04-23T00:00:00"/>
    <s v="FG005"/>
    <x v="2"/>
    <s v="Produk"/>
    <x v="5"/>
    <n v="500"/>
    <n v="0"/>
    <n v="2050"/>
    <n v="2550"/>
    <s v="Pcs"/>
    <s v="Hasil Produksi"/>
  </r>
  <r>
    <d v="2025-04-23T00:00:00"/>
    <s v="RM001"/>
    <x v="10"/>
    <s v="Bahan Baku"/>
    <x v="0"/>
    <n v="0"/>
    <n v="450"/>
    <n v="2500"/>
    <n v="2050"/>
    <s v="Kg"/>
    <s v="Digunakan Produksi"/>
  </r>
  <r>
    <d v="2025-04-24T00:00:00"/>
    <s v="FG005"/>
    <x v="2"/>
    <s v="Produk"/>
    <x v="2"/>
    <n v="0"/>
    <n v="400"/>
    <n v="2550"/>
    <n v="2150"/>
    <s v="Pcs"/>
    <s v="Distribusi ke Customer"/>
  </r>
  <r>
    <d v="2025-04-24T00:00:00"/>
    <s v="RM005"/>
    <x v="5"/>
    <s v="Bahan Baku"/>
    <x v="5"/>
    <n v="0"/>
    <n v="180"/>
    <n v="1390"/>
    <n v="1210"/>
    <s v="Kg"/>
    <s v="Digunakan Produksi"/>
  </r>
  <r>
    <d v="2025-04-26T00:00:00"/>
    <s v="PK005"/>
    <x v="18"/>
    <s v="Kemasan"/>
    <x v="30"/>
    <n v="0"/>
    <n v="400"/>
    <n v="2050"/>
    <n v="1650"/>
    <s v="Pcs"/>
    <s v="Digunakan Packaging"/>
  </r>
  <r>
    <d v="2025-04-27T00:00:00"/>
    <s v="AD003"/>
    <x v="13"/>
    <s v="Bahan Tambahan"/>
    <x v="1"/>
    <n v="0"/>
    <n v="160"/>
    <n v="890"/>
    <n v="730"/>
    <s v="Kg"/>
    <s v="Digunakan Produksi"/>
  </r>
  <r>
    <d v="2025-04-27T00:00:00"/>
    <s v="PK001"/>
    <x v="3"/>
    <s v="Kemasan"/>
    <x v="3"/>
    <n v="500"/>
    <n v="0"/>
    <n v="2050"/>
    <n v="2550"/>
    <s v="Pcs"/>
    <s v="Restock Kemasan"/>
  </r>
  <r>
    <d v="2025-04-27T00:00:00"/>
    <s v="PK002"/>
    <x v="4"/>
    <s v="Kemasan"/>
    <x v="7"/>
    <n v="0"/>
    <n v="600"/>
    <n v="8900"/>
    <n v="8300"/>
    <s v="Pcs"/>
    <s v="Digunakan Packaging"/>
  </r>
  <r>
    <d v="2025-04-27T00:00:00"/>
    <s v="PK006"/>
    <x v="6"/>
    <s v="Kemasan"/>
    <x v="8"/>
    <n v="0"/>
    <n v="30"/>
    <n v="220"/>
    <n v="190"/>
    <s v="Pcs"/>
    <s v="Digunakan Packaging"/>
  </r>
  <r>
    <d v="2025-04-27T00:00:00"/>
    <s v="RM002"/>
    <x v="9"/>
    <s v="Bahan Baku"/>
    <x v="0"/>
    <n v="0"/>
    <n v="250"/>
    <n v="2050"/>
    <n v="1800"/>
    <s v="Kg"/>
    <s v="Digunakan Produksi"/>
  </r>
  <r>
    <d v="2025-04-28T00:00:00"/>
    <s v="FG001"/>
    <x v="15"/>
    <s v="Produk"/>
    <x v="15"/>
    <n v="0"/>
    <n v="500"/>
    <n v="1600"/>
    <n v="1100"/>
    <s v="Pcs"/>
    <s v="Distribusi ke Customer"/>
  </r>
  <r>
    <d v="2025-04-28T00:00:00"/>
    <s v="FG002"/>
    <x v="16"/>
    <s v="Produk"/>
    <x v="1"/>
    <n v="0"/>
    <n v="400"/>
    <n v="1500"/>
    <n v="1100"/>
    <s v="Pcs"/>
    <s v="Distribusi ke Customer"/>
  </r>
  <r>
    <d v="2025-04-28T00:00:00"/>
    <s v="RM003"/>
    <x v="17"/>
    <s v="Bahan Baku"/>
    <x v="5"/>
    <n v="0"/>
    <n v="300"/>
    <n v="1690"/>
    <n v="1390"/>
    <s v="Kg"/>
    <s v="Digunakan Produksi"/>
  </r>
  <r>
    <d v="2025-04-29T00:00:00"/>
    <s v="AD001"/>
    <x v="11"/>
    <s v="Bahan Tambahan"/>
    <x v="13"/>
    <n v="0"/>
    <n v="110"/>
    <n v="375"/>
    <n v="265"/>
    <s v="Kg"/>
    <s v="Digunakan Produksi"/>
  </r>
  <r>
    <d v="2025-04-29T00:00:00"/>
    <s v="AD004"/>
    <x v="14"/>
    <s v="Bahan Tambahan"/>
    <x v="9"/>
    <n v="0"/>
    <n v="150"/>
    <n v="530"/>
    <n v="380"/>
    <s v="Kg"/>
    <s v="Digunakan Produksi"/>
  </r>
  <r>
    <d v="2025-04-29T00:00:00"/>
    <s v="PK001"/>
    <x v="3"/>
    <s v="Kemasan"/>
    <x v="4"/>
    <n v="0"/>
    <n v="250"/>
    <n v="2550"/>
    <n v="2300"/>
    <s v="Pcs"/>
    <s v="Digunakan Packaging"/>
  </r>
  <r>
    <d v="2025-04-29T00:00:00"/>
    <s v="PK002"/>
    <x v="4"/>
    <s v="Kemasan"/>
    <x v="12"/>
    <n v="1000"/>
    <n v="0"/>
    <n v="8300"/>
    <n v="9300"/>
    <s v="Pcs"/>
    <s v="Restock Kemasan"/>
  </r>
  <r>
    <d v="2025-04-29T00:00:00"/>
    <s v="PK004"/>
    <x v="8"/>
    <s v="Kemasan"/>
    <x v="10"/>
    <n v="0"/>
    <n v="400"/>
    <n v="8250"/>
    <n v="7850"/>
    <s v="Pcs"/>
    <s v="Digunakan Packaging"/>
  </r>
  <r>
    <d v="2025-04-29T00:00:00"/>
    <s v="RM004"/>
    <x v="19"/>
    <s v="Bahan Baku"/>
    <x v="0"/>
    <n v="0"/>
    <n v="250"/>
    <n v="1750"/>
    <n v="1500"/>
    <s v="Kg"/>
    <s v="Digunakan Produksi"/>
  </r>
  <r>
    <d v="2025-04-30T00:00:00"/>
    <s v="AD002"/>
    <x v="12"/>
    <s v="Bahan Tambahan"/>
    <x v="14"/>
    <n v="0"/>
    <n v="80"/>
    <n v="555"/>
    <n v="475"/>
    <s v="Kg"/>
    <s v="Digunakan Produksi"/>
  </r>
  <r>
    <d v="2025-04-30T00:00:00"/>
    <s v="PK001"/>
    <x v="3"/>
    <s v="Kemasan"/>
    <x v="10"/>
    <n v="400"/>
    <n v="0"/>
    <n v="2300"/>
    <n v="2700"/>
    <s v="Pcs"/>
    <s v="Restock Kemasan"/>
  </r>
  <r>
    <d v="2025-05-01T00:00:00"/>
    <s v="PK001"/>
    <x v="3"/>
    <s v="Kemasan"/>
    <x v="3"/>
    <n v="0"/>
    <n v="200"/>
    <n v="2700"/>
    <n v="2500"/>
    <s v="Pcs"/>
    <s v="Digunakan Packaging"/>
  </r>
  <r>
    <d v="2025-05-01T00:00:00"/>
    <s v="PK002"/>
    <x v="4"/>
    <s v="Kemasan"/>
    <x v="4"/>
    <n v="0"/>
    <n v="500"/>
    <n v="9300"/>
    <n v="8800"/>
    <s v="Pcs"/>
    <s v="Digunakan Packaging"/>
  </r>
  <r>
    <d v="2025-05-01T00:00:00"/>
    <s v="RM004"/>
    <x v="19"/>
    <s v="Bahan Baku"/>
    <x v="11"/>
    <n v="400"/>
    <n v="0"/>
    <n v="1500"/>
    <n v="1900"/>
    <s v="Kg"/>
    <s v="Restock Bahan Baku"/>
  </r>
  <r>
    <d v="2025-05-02T00:00:00"/>
    <s v="AD001"/>
    <x v="11"/>
    <s v="Bahan Tambahan"/>
    <x v="18"/>
    <n v="120"/>
    <n v="0"/>
    <n v="265"/>
    <n v="385"/>
    <s v="Kg"/>
    <s v="Restock Bahan Tambahan"/>
  </r>
  <r>
    <d v="2025-05-02T00:00:00"/>
    <s v="AD002"/>
    <x v="12"/>
    <s v="Bahan Tambahan"/>
    <x v="23"/>
    <n v="110"/>
    <n v="0"/>
    <n v="475"/>
    <n v="585"/>
    <s v="Kg"/>
    <s v="Restock Bahan Tambahan"/>
  </r>
  <r>
    <d v="2025-05-02T00:00:00"/>
    <s v="PK004"/>
    <x v="8"/>
    <s v="Kemasan"/>
    <x v="21"/>
    <n v="1100"/>
    <n v="0"/>
    <n v="7850"/>
    <n v="8950"/>
    <s v="Pcs"/>
    <s v="Restock Kemasan"/>
  </r>
  <r>
    <d v="2025-05-02T00:00:00"/>
    <s v="RM001"/>
    <x v="10"/>
    <s v="Bahan Baku"/>
    <x v="11"/>
    <n v="500"/>
    <n v="0"/>
    <n v="2050"/>
    <n v="2550"/>
    <s v="Kg"/>
    <s v="Restock Bahan Baku"/>
  </r>
  <r>
    <d v="2025-05-02T00:00:00"/>
    <s v="RM002"/>
    <x v="9"/>
    <s v="Bahan Baku"/>
    <x v="5"/>
    <n v="500"/>
    <n v="0"/>
    <n v="1800"/>
    <n v="2300"/>
    <s v="Kg"/>
    <s v="Restock Bahan Baku"/>
  </r>
  <r>
    <d v="2025-05-03T00:00:00"/>
    <s v="PK001"/>
    <x v="3"/>
    <s v="Kemasan"/>
    <x v="3"/>
    <n v="350"/>
    <n v="0"/>
    <n v="2500"/>
    <n v="2850"/>
    <s v="Pcs"/>
    <s v="Restock Kemasan"/>
  </r>
  <r>
    <d v="2025-05-03T00:00:00"/>
    <s v="PK003"/>
    <x v="20"/>
    <s v="Kemasan"/>
    <x v="4"/>
    <n v="0"/>
    <n v="450"/>
    <n v="7850"/>
    <n v="7400"/>
    <s v="Pcs"/>
    <s v="Digunakan Packaging"/>
  </r>
  <r>
    <d v="2025-05-04T00:00:00"/>
    <s v="FG002"/>
    <x v="16"/>
    <s v="Produk"/>
    <x v="0"/>
    <n v="700"/>
    <n v="0"/>
    <n v="1100"/>
    <n v="1800"/>
    <s v="Pcs"/>
    <s v="Hasil Produksi"/>
  </r>
  <r>
    <d v="2025-05-04T00:00:00"/>
    <s v="PK006"/>
    <x v="6"/>
    <s v="Kemasan"/>
    <x v="32"/>
    <n v="70"/>
    <n v="0"/>
    <n v="190"/>
    <n v="260"/>
    <s v="Pcs"/>
    <s v="Restock Kemasan"/>
  </r>
  <r>
    <d v="2025-05-05T00:00:00"/>
    <s v="AD003"/>
    <x v="13"/>
    <s v="Bahan Tambahan"/>
    <x v="0"/>
    <n v="170"/>
    <n v="0"/>
    <n v="730"/>
    <n v="900"/>
    <s v="Kg"/>
    <s v="Restock Bahan Tambahan"/>
  </r>
  <r>
    <d v="2025-05-05T00:00:00"/>
    <s v="PK005"/>
    <x v="18"/>
    <s v="Kemasan"/>
    <x v="16"/>
    <n v="500"/>
    <n v="0"/>
    <n v="1650"/>
    <n v="2150"/>
    <s v="Pcs"/>
    <s v="Restock Kemasan"/>
  </r>
  <r>
    <d v="2025-05-05T00:00:00"/>
    <s v="RM005"/>
    <x v="5"/>
    <s v="Bahan Baku"/>
    <x v="11"/>
    <n v="320"/>
    <n v="0"/>
    <n v="1210"/>
    <n v="1530"/>
    <s v="Kg"/>
    <s v="Restock Bahan Baku"/>
  </r>
  <r>
    <d v="2025-05-06T00:00:00"/>
    <s v="AD004"/>
    <x v="14"/>
    <s v="Bahan Tambahan"/>
    <x v="19"/>
    <n v="170"/>
    <n v="0"/>
    <n v="380"/>
    <n v="550"/>
    <s v="Kg"/>
    <s v="Restock Bahan Tambahan"/>
  </r>
  <r>
    <d v="2025-05-06T00:00:00"/>
    <s v="AD005"/>
    <x v="7"/>
    <s v="Bahan Tambahan"/>
    <x v="9"/>
    <n v="60"/>
    <n v="0"/>
    <n v="385"/>
    <n v="445"/>
    <s v="Kg"/>
    <s v="Restock Bahan Tambahan"/>
  </r>
  <r>
    <d v="2025-05-06T00:00:00"/>
    <s v="FG001"/>
    <x v="15"/>
    <s v="Produk"/>
    <x v="20"/>
    <n v="700"/>
    <n v="0"/>
    <n v="1100"/>
    <n v="1800"/>
    <s v="Pcs"/>
    <s v="Hasil Produksi"/>
  </r>
  <r>
    <d v="2025-05-06T00:00:00"/>
    <s v="RM003"/>
    <x v="17"/>
    <s v="Bahan Baku"/>
    <x v="0"/>
    <n v="260"/>
    <n v="0"/>
    <n v="1390"/>
    <n v="1650"/>
    <s v="Kg"/>
    <s v="Restock Bahan Baku"/>
  </r>
  <r>
    <d v="2025-05-08T00:00:00"/>
    <s v="RM004"/>
    <x v="19"/>
    <s v="Bahan Baku"/>
    <x v="28"/>
    <n v="0"/>
    <n v="300"/>
    <n v="1900"/>
    <n v="1600"/>
    <s v="Kg"/>
    <s v="Digunakan Produksi"/>
  </r>
  <r>
    <d v="2025-05-10T00:00:00"/>
    <s v="AD001"/>
    <x v="11"/>
    <s v="Bahan Tambahan"/>
    <x v="26"/>
    <n v="0"/>
    <n v="90"/>
    <n v="385"/>
    <n v="295"/>
    <s v="Kg"/>
    <s v="Digunakan Produksi"/>
  </r>
  <r>
    <d v="2025-05-10T00:00:00"/>
    <s v="AD002"/>
    <x v="12"/>
    <s v="Bahan Tambahan"/>
    <x v="29"/>
    <n v="0"/>
    <n v="90"/>
    <n v="585"/>
    <n v="495"/>
    <s v="Kg"/>
    <s v="Digunakan Produksi"/>
  </r>
  <r>
    <d v="2025-05-10T00:00:00"/>
    <s v="PK004"/>
    <x v="8"/>
    <s v="Kemasan"/>
    <x v="25"/>
    <n v="0"/>
    <n v="500"/>
    <n v="8950"/>
    <n v="8450"/>
    <s v="Pcs"/>
    <s v="Digunakan Packaging"/>
  </r>
  <r>
    <d v="2025-05-10T00:00:00"/>
    <s v="RM002"/>
    <x v="9"/>
    <s v="Bahan Baku"/>
    <x v="11"/>
    <n v="0"/>
    <n v="400"/>
    <n v="2300"/>
    <n v="1900"/>
    <s v="Kg"/>
    <s v="Digunakan Produksi"/>
  </r>
  <r>
    <d v="2025-05-11T00:00:00"/>
    <s v="RM001"/>
    <x v="10"/>
    <s v="Bahan Baku"/>
    <x v="5"/>
    <n v="0"/>
    <n v="400"/>
    <n v="2550"/>
    <n v="2150"/>
    <s v="Kg"/>
    <s v="Digunakan Produksi"/>
  </r>
  <r>
    <d v="2025-05-12T00:00:00"/>
    <s v="PK005"/>
    <x v="18"/>
    <s v="Kemasan"/>
    <x v="16"/>
    <n v="0"/>
    <n v="450"/>
    <n v="2150"/>
    <n v="1700"/>
    <s v="Pcs"/>
    <s v="Digunakan Packaging"/>
  </r>
  <r>
    <d v="2025-05-13T00:00:00"/>
    <s v="AD003"/>
    <x v="13"/>
    <s v="Bahan Tambahan"/>
    <x v="5"/>
    <n v="0"/>
    <n v="180"/>
    <n v="900"/>
    <n v="720"/>
    <s v="Kg"/>
    <s v="Digunakan Produksi"/>
  </r>
  <r>
    <d v="2025-05-13T00:00:00"/>
    <s v="AD004"/>
    <x v="14"/>
    <s v="Bahan Tambahan"/>
    <x v="27"/>
    <n v="0"/>
    <n v="130"/>
    <n v="550"/>
    <n v="420"/>
    <s v="Kg"/>
    <s v="Digunakan Produksi"/>
  </r>
  <r>
    <d v="2025-05-13T00:00:00"/>
    <s v="FG001"/>
    <x v="15"/>
    <s v="Produk"/>
    <x v="24"/>
    <n v="0"/>
    <n v="600"/>
    <n v="1800"/>
    <n v="1200"/>
    <s v="Pcs"/>
    <s v="Distribusi ke Customer"/>
  </r>
  <r>
    <d v="2025-05-13T00:00:00"/>
    <s v="FG002"/>
    <x v="16"/>
    <s v="Produk"/>
    <x v="5"/>
    <n v="0"/>
    <n v="600"/>
    <n v="1800"/>
    <n v="1200"/>
    <s v="Pcs"/>
    <s v="Distribusi ke Customer"/>
  </r>
  <r>
    <d v="2025-05-13T00:00:00"/>
    <s v="PK006"/>
    <x v="6"/>
    <s v="Kemasan"/>
    <x v="8"/>
    <n v="0"/>
    <n v="60"/>
    <n v="260"/>
    <n v="200"/>
    <s v="Pcs"/>
    <s v="Digunakan Packaging"/>
  </r>
  <r>
    <d v="2025-05-13T00:00:00"/>
    <s v="RM005"/>
    <x v="5"/>
    <s v="Bahan Baku"/>
    <x v="11"/>
    <n v="0"/>
    <n v="200"/>
    <n v="1530"/>
    <n v="1330"/>
    <s v="Kg"/>
    <s v="Digunakan Produksi"/>
  </r>
  <r>
    <d v="2025-05-14T00:00:00"/>
    <s v="AD005"/>
    <x v="7"/>
    <s v="Bahan Tambahan"/>
    <x v="22"/>
    <n v="0"/>
    <n v="20"/>
    <n v="445"/>
    <n v="425"/>
    <s v="Kg"/>
    <s v="Digunakan Produksi"/>
  </r>
  <r>
    <d v="2025-05-14T00:00:00"/>
    <s v="RM003"/>
    <x v="17"/>
    <s v="Bahan Baku"/>
    <x v="0"/>
    <n v="0"/>
    <n v="250"/>
    <n v="1650"/>
    <n v="1400"/>
    <s v="Kg"/>
    <s v="Digunakan Produksi"/>
  </r>
  <r>
    <d v="2025-05-15T00:00:00"/>
    <s v="FG003"/>
    <x v="0"/>
    <s v="Produk"/>
    <x v="0"/>
    <n v="700"/>
    <n v="0"/>
    <n v="2350"/>
    <n v="3050"/>
    <s v="Pcs"/>
    <s v="Hasil Produksi"/>
  </r>
  <r>
    <d v="2025-05-15T00:00:00"/>
    <s v="RM004"/>
    <x v="19"/>
    <s v="Bahan Baku"/>
    <x v="0"/>
    <n v="350"/>
    <n v="0"/>
    <n v="1600"/>
    <n v="1950"/>
    <s v="Kg"/>
    <s v="Restock Bahan Baku"/>
  </r>
  <r>
    <d v="2025-05-16T00:00:00"/>
    <s v="FG003"/>
    <x v="0"/>
    <s v="Produk"/>
    <x v="5"/>
    <n v="0"/>
    <n v="650"/>
    <n v="3050"/>
    <n v="2400"/>
    <s v="Pcs"/>
    <s v="Distribusi ke Customer"/>
  </r>
  <r>
    <d v="2025-05-16T00:00:00"/>
    <s v="PK004"/>
    <x v="8"/>
    <s v="Kemasan"/>
    <x v="10"/>
    <n v="600"/>
    <n v="0"/>
    <n v="8450"/>
    <n v="9050"/>
    <s v="Pcs"/>
    <s v="Restock Kemasan"/>
  </r>
  <r>
    <d v="2025-05-18T00:00:00"/>
    <s v="AD001"/>
    <x v="11"/>
    <s v="Bahan Tambahan"/>
    <x v="13"/>
    <n v="85"/>
    <n v="0"/>
    <n v="295"/>
    <n v="380"/>
    <s v="Kg"/>
    <s v="Restock Bahan Tambahan"/>
  </r>
  <r>
    <d v="2025-05-18T00:00:00"/>
    <s v="AD002"/>
    <x v="12"/>
    <s v="Bahan Tambahan"/>
    <x v="14"/>
    <n v="120"/>
    <n v="0"/>
    <n v="495"/>
    <n v="615"/>
    <s v="Kg"/>
    <s v="Restock Bahan Tambahan"/>
  </r>
  <r>
    <d v="2025-05-18T00:00:00"/>
    <s v="FG003"/>
    <x v="0"/>
    <s v="Produk"/>
    <x v="1"/>
    <n v="600"/>
    <n v="0"/>
    <n v="2400"/>
    <n v="3000"/>
    <s v="Pcs"/>
    <s v="Hasil Produksi"/>
  </r>
  <r>
    <d v="2025-05-18T00:00:00"/>
    <s v="RM002"/>
    <x v="9"/>
    <s v="Bahan Baku"/>
    <x v="0"/>
    <n v="350"/>
    <n v="0"/>
    <n v="1900"/>
    <n v="2250"/>
    <s v="Kg"/>
    <s v="Restock Bahan Baku"/>
  </r>
  <r>
    <d v="2025-05-19T00:00:00"/>
    <s v="FG003"/>
    <x v="0"/>
    <s v="Produk"/>
    <x v="0"/>
    <n v="0"/>
    <n v="550"/>
    <n v="3000"/>
    <n v="2450"/>
    <s v="Pcs"/>
    <s v="Distribusi ke Customer"/>
  </r>
  <r>
    <d v="2025-05-19T00:00:00"/>
    <s v="PK005"/>
    <x v="18"/>
    <s v="Kemasan"/>
    <x v="30"/>
    <n v="300"/>
    <n v="0"/>
    <n v="1700"/>
    <n v="2000"/>
    <s v="Pcs"/>
    <s v="Restock Kemasan"/>
  </r>
  <r>
    <d v="2025-05-20T00:00:00"/>
    <s v="FG003"/>
    <x v="0"/>
    <s v="Produk"/>
    <x v="5"/>
    <n v="650"/>
    <n v="0"/>
    <n v="2450"/>
    <n v="3100"/>
    <s v="Pcs"/>
    <s v="Hasil Produksi"/>
  </r>
  <r>
    <d v="2025-05-20T00:00:00"/>
    <s v="FG004"/>
    <x v="1"/>
    <s v="Produk"/>
    <x v="1"/>
    <n v="0"/>
    <n v="350"/>
    <n v="1850"/>
    <n v="1500"/>
    <s v="Pcs"/>
    <s v="Distribusi ke Customer"/>
  </r>
  <r>
    <d v="2025-05-20T00:00:00"/>
    <s v="RM001"/>
    <x v="10"/>
    <s v="Bahan Baku"/>
    <x v="0"/>
    <n v="600"/>
    <n v="0"/>
    <n v="2150"/>
    <n v="2750"/>
    <s v="Kg"/>
    <s v="Restock Bahan Baku"/>
  </r>
  <r>
    <d v="2025-05-21T00:00:00"/>
    <s v="AD003"/>
    <x v="13"/>
    <s v="Bahan Tambahan"/>
    <x v="1"/>
    <n v="190"/>
    <n v="0"/>
    <n v="720"/>
    <n v="910"/>
    <s v="Kg"/>
    <s v="Restock Bahan Tambahan"/>
  </r>
  <r>
    <d v="2025-05-21T00:00:00"/>
    <s v="AD005"/>
    <x v="7"/>
    <s v="Bahan Tambahan"/>
    <x v="31"/>
    <n v="55"/>
    <n v="0"/>
    <n v="425"/>
    <n v="480"/>
    <s v="Kg"/>
    <s v="Restock Bahan Tambahan"/>
  </r>
  <r>
    <d v="2025-05-21T00:00:00"/>
    <s v="FG001"/>
    <x v="15"/>
    <s v="Produk"/>
    <x v="15"/>
    <n v="800"/>
    <n v="0"/>
    <n v="1200"/>
    <n v="2000"/>
    <s v="Pcs"/>
    <s v="Hasil Produksi"/>
  </r>
  <r>
    <d v="2025-05-21T00:00:00"/>
    <s v="FG002"/>
    <x v="16"/>
    <s v="Produk"/>
    <x v="1"/>
    <n v="800"/>
    <n v="0"/>
    <n v="1200"/>
    <n v="2000"/>
    <s v="Pcs"/>
    <s v="Hasil Produksi"/>
  </r>
  <r>
    <d v="2025-05-21T00:00:00"/>
    <s v="FG003"/>
    <x v="0"/>
    <s v="Produk"/>
    <x v="1"/>
    <n v="0"/>
    <n v="600"/>
    <n v="3100"/>
    <n v="2500"/>
    <s v="Pcs"/>
    <s v="Distribusi ke Customer"/>
  </r>
  <r>
    <d v="2025-05-21T00:00:00"/>
    <s v="PK006"/>
    <x v="6"/>
    <s v="Kemasan"/>
    <x v="17"/>
    <n v="50"/>
    <n v="0"/>
    <n v="200"/>
    <n v="250"/>
    <s v="Pcs"/>
    <s v="Restock Kemasan"/>
  </r>
  <r>
    <d v="2025-05-22T00:00:00"/>
    <s v="AD004"/>
    <x v="14"/>
    <s v="Bahan Tambahan"/>
    <x v="9"/>
    <n v="140"/>
    <n v="0"/>
    <n v="420"/>
    <n v="560"/>
    <s v="Kg"/>
    <s v="Restock Bahan Tambahan"/>
  </r>
  <r>
    <d v="2025-05-22T00:00:00"/>
    <s v="FG004"/>
    <x v="1"/>
    <s v="Produk"/>
    <x v="5"/>
    <n v="500"/>
    <n v="0"/>
    <n v="1500"/>
    <n v="2000"/>
    <s v="Pcs"/>
    <s v="Hasil Produksi"/>
  </r>
  <r>
    <d v="2025-05-22T00:00:00"/>
    <s v="RM005"/>
    <x v="5"/>
    <s v="Bahan Baku"/>
    <x v="0"/>
    <n v="260"/>
    <n v="0"/>
    <n v="1330"/>
    <n v="1590"/>
    <s v="Kg"/>
    <s v="Restock Bahan Baku"/>
  </r>
  <r>
    <d v="2025-05-23T00:00:00"/>
    <s v="RM003"/>
    <x v="17"/>
    <s v="Bahan Baku"/>
    <x v="5"/>
    <n v="350"/>
    <n v="0"/>
    <n v="1400"/>
    <n v="1750"/>
    <s v="Kg"/>
    <s v="Restock Bahan Baku"/>
  </r>
  <r>
    <d v="2025-05-23T00:00:00"/>
    <s v="RM004"/>
    <x v="19"/>
    <s v="Bahan Baku"/>
    <x v="11"/>
    <n v="0"/>
    <n v="250"/>
    <n v="1950"/>
    <n v="1700"/>
    <s v="Kg"/>
    <s v="Digunakan Produksi"/>
  </r>
  <r>
    <d v="2025-05-25T00:00:00"/>
    <s v="PK004"/>
    <x v="8"/>
    <s v="Kemasan"/>
    <x v="21"/>
    <n v="0"/>
    <n v="400"/>
    <n v="9050"/>
    <n v="8650"/>
    <s v="Pcs"/>
    <s v="Digunakan Packaging"/>
  </r>
  <r>
    <d v="2025-05-25T00:00:00"/>
    <s v="RM001"/>
    <x v="10"/>
    <s v="Bahan Baku"/>
    <x v="11"/>
    <n v="0"/>
    <n v="500"/>
    <n v="2750"/>
    <n v="2250"/>
    <s v="Kg"/>
    <s v="Digunakan Produksi"/>
  </r>
  <r>
    <d v="2025-05-26T00:00:00"/>
    <s v="FG005"/>
    <x v="2"/>
    <s v="Produk"/>
    <x v="6"/>
    <n v="600"/>
    <n v="0"/>
    <n v="2150"/>
    <n v="2750"/>
    <s v="Pcs"/>
    <s v="Hasil Produksi"/>
  </r>
  <r>
    <d v="2025-05-26T00:00:00"/>
    <s v="RM002"/>
    <x v="9"/>
    <s v="Bahan Baku"/>
    <x v="5"/>
    <n v="0"/>
    <n v="300"/>
    <n v="2250"/>
    <n v="1950"/>
    <s v="Kg"/>
    <s v="Digunakan Produksi"/>
  </r>
  <r>
    <d v="2025-05-27T00:00:00"/>
    <s v="AD001"/>
    <x v="11"/>
    <s v="Bahan Tambahan"/>
    <x v="18"/>
    <n v="0"/>
    <n v="100"/>
    <n v="380"/>
    <n v="280"/>
    <s v="Kg"/>
    <s v="Digunakan Produksi"/>
  </r>
  <r>
    <d v="2025-05-27T00:00:00"/>
    <s v="FG005"/>
    <x v="2"/>
    <s v="Produk"/>
    <x v="5"/>
    <n v="0"/>
    <n v="500"/>
    <n v="2750"/>
    <n v="2250"/>
    <s v="Pcs"/>
    <s v="Distribusi ke Customer"/>
  </r>
  <r>
    <d v="2025-05-27T00:00:00"/>
    <s v="PK005"/>
    <x v="18"/>
    <s v="Kemasan"/>
    <x v="30"/>
    <n v="0"/>
    <n v="400"/>
    <n v="2000"/>
    <n v="1600"/>
    <s v="Pcs"/>
    <s v="Digunakan Packaging"/>
  </r>
  <r>
    <d v="2025-05-28T00:00:00"/>
    <s v="AD002"/>
    <x v="12"/>
    <s v="Bahan Tambahan"/>
    <x v="23"/>
    <n v="0"/>
    <n v="85"/>
    <n v="615"/>
    <n v="530"/>
    <s v="Kg"/>
    <s v="Digunakan Produksi"/>
  </r>
  <r>
    <d v="2025-05-28T00:00:00"/>
    <s v="PK006"/>
    <x v="6"/>
    <s v="Kemasan"/>
    <x v="32"/>
    <n v="0"/>
    <n v="40"/>
    <n v="250"/>
    <n v="210"/>
    <s v="Pcs"/>
    <s v="Digunakan Packaging"/>
  </r>
  <r>
    <d v="2025-05-29T00:00:00"/>
    <s v="AD003"/>
    <x v="13"/>
    <s v="Bahan Tambahan"/>
    <x v="0"/>
    <n v="0"/>
    <n v="150"/>
    <n v="910"/>
    <n v="760"/>
    <s v="Kg"/>
    <s v="Digunakan Produksi"/>
  </r>
  <r>
    <d v="2025-05-29T00:00:00"/>
    <s v="AD005"/>
    <x v="7"/>
    <s v="Bahan Tambahan"/>
    <x v="9"/>
    <n v="0"/>
    <n v="30"/>
    <n v="480"/>
    <n v="450"/>
    <s v="Kg"/>
    <s v="Digunakan Produksi"/>
  </r>
  <r>
    <d v="2025-05-29T00:00:00"/>
    <s v="FG002"/>
    <x v="16"/>
    <s v="Produk"/>
    <x v="0"/>
    <n v="0"/>
    <n v="500"/>
    <n v="2000"/>
    <n v="1500"/>
    <s v="Pcs"/>
    <s v="Distribusi ke Customer"/>
  </r>
  <r>
    <d v="2025-05-29T00:00:00"/>
    <s v="FG005"/>
    <x v="2"/>
    <s v="Produk"/>
    <x v="2"/>
    <n v="550"/>
    <n v="0"/>
    <n v="2250"/>
    <n v="2800"/>
    <s v="Pcs"/>
    <s v="Hasil Produksi"/>
  </r>
  <r>
    <d v="2025-05-29T00:00:00"/>
    <s v="RM001"/>
    <x v="10"/>
    <s v="Bahan Baku"/>
    <x v="5"/>
    <n v="550"/>
    <n v="0"/>
    <n v="2250"/>
    <n v="2800"/>
    <s v="Kg"/>
    <s v="Restock Bahan Baku"/>
  </r>
  <r>
    <d v="2025-05-30T00:00:00"/>
    <s v="AD004"/>
    <x v="14"/>
    <s v="Bahan Tambahan"/>
    <x v="19"/>
    <n v="0"/>
    <n v="160"/>
    <n v="560"/>
    <n v="400"/>
    <s v="Kg"/>
    <s v="Digunakan Produksi"/>
  </r>
  <r>
    <d v="2025-05-30T00:00:00"/>
    <s v="FG001"/>
    <x v="15"/>
    <s v="Produk"/>
    <x v="20"/>
    <n v="0"/>
    <n v="700"/>
    <n v="2000"/>
    <n v="1300"/>
    <s v="Pcs"/>
    <s v="Distribusi ke Customer"/>
  </r>
  <r>
    <d v="2025-05-30T00:00:00"/>
    <s v="RM005"/>
    <x v="5"/>
    <s v="Bahan Baku"/>
    <x v="0"/>
    <n v="0"/>
    <n v="190"/>
    <n v="1590"/>
    <n v="1400"/>
    <s v="Kg"/>
    <s v="Digunakan Produksi"/>
  </r>
  <r>
    <d v="2025-06-01T00:00:00"/>
    <s v="PK004"/>
    <x v="8"/>
    <s v="Kemasan"/>
    <x v="25"/>
    <n v="1200"/>
    <n v="0"/>
    <n v="8650"/>
    <n v="9850"/>
    <s v="Pcs"/>
    <s v="Restock Kemasan"/>
  </r>
  <r>
    <d v="2025-06-01T00:00:00"/>
    <s v="RM003"/>
    <x v="17"/>
    <s v="Bahan Baku"/>
    <x v="11"/>
    <n v="0"/>
    <n v="300"/>
    <n v="1750"/>
    <n v="1450"/>
    <s v="Kg"/>
    <s v="Digunakan Produksi"/>
  </r>
  <r>
    <d v="2025-06-02T00:00:00"/>
    <s v="AD003"/>
    <x v="13"/>
    <s v="Bahan Tambahan"/>
    <x v="5"/>
    <n v="200"/>
    <n v="0"/>
    <n v="760"/>
    <n v="960"/>
    <s v="Kg"/>
    <s v="Restock Bahan Tambahan"/>
  </r>
  <r>
    <d v="2025-06-02T00:00:00"/>
    <s v="RM004"/>
    <x v="19"/>
    <s v="Bahan Baku"/>
    <x v="28"/>
    <n v="450"/>
    <n v="0"/>
    <n v="1700"/>
    <n v="2150"/>
    <s v="Kg"/>
    <s v="Restock Bahan Baku"/>
  </r>
  <r>
    <d v="2025-06-03T00:00:00"/>
    <s v="AD001"/>
    <x v="11"/>
    <s v="Bahan Tambahan"/>
    <x v="26"/>
    <n v="110"/>
    <n v="0"/>
    <n v="280"/>
    <n v="390"/>
    <s v="Kg"/>
    <s v="Restock Bahan Tambahan"/>
  </r>
  <r>
    <d v="2025-06-03T00:00:00"/>
    <s v="AD005"/>
    <x v="7"/>
    <s v="Bahan Tambahan"/>
    <x v="22"/>
    <n v="50"/>
    <n v="0"/>
    <n v="450"/>
    <n v="500"/>
    <s v="Kg"/>
    <s v="Restock Bahan Tambahan"/>
  </r>
  <r>
    <d v="2025-06-03T00:00:00"/>
    <s v="PK002"/>
    <x v="4"/>
    <s v="Kemasan"/>
    <x v="7"/>
    <n v="1200"/>
    <n v="0"/>
    <n v="8800"/>
    <n v="10000"/>
    <s v="Pcs"/>
    <s v="Restock Kemasan"/>
  </r>
  <r>
    <d v="2025-06-03T00:00:00"/>
    <s v="PK005"/>
    <x v="18"/>
    <s v="Kemasan"/>
    <x v="34"/>
    <n v="600"/>
    <n v="0"/>
    <n v="1600"/>
    <n v="2200"/>
    <s v="Pcs"/>
    <s v="Restock Kemasan"/>
  </r>
  <r>
    <d v="2025-06-03T00:00:00"/>
    <s v="RM002"/>
    <x v="9"/>
    <s v="Bahan Baku"/>
    <x v="11"/>
    <n v="400"/>
    <n v="0"/>
    <n v="1950"/>
    <n v="2350"/>
    <s v="Kg"/>
    <s v="Restock Bahan Baku"/>
  </r>
  <r>
    <d v="2025-06-04T00:00:00"/>
    <s v="PK001"/>
    <x v="3"/>
    <s v="Kemasan"/>
    <x v="4"/>
    <n v="0"/>
    <n v="180"/>
    <n v="2850"/>
    <n v="2670"/>
    <s v="Pcs"/>
    <s v="Digunakan Packaging"/>
  </r>
  <r>
    <d v="2025-06-04T00:00:00"/>
    <s v="RM005"/>
    <x v="5"/>
    <s v="Bahan Baku"/>
    <x v="5"/>
    <n v="300"/>
    <n v="0"/>
    <n v="1400"/>
    <n v="1700"/>
    <s v="Kg"/>
    <s v="Restock Bahan Baku"/>
  </r>
  <r>
    <d v="2025-06-05T00:00:00"/>
    <s v="AD004"/>
    <x v="14"/>
    <s v="Bahan Tambahan"/>
    <x v="27"/>
    <n v="150"/>
    <n v="0"/>
    <n v="400"/>
    <n v="550"/>
    <s v="Kg"/>
    <s v="Restock Bahan Tambahan"/>
  </r>
  <r>
    <d v="2025-06-05T00:00:00"/>
    <s v="FG002"/>
    <x v="16"/>
    <s v="Produk"/>
    <x v="5"/>
    <n v="600"/>
    <n v="0"/>
    <n v="1500"/>
    <n v="2100"/>
    <s v="Pcs"/>
    <s v="Hasil Produksi"/>
  </r>
  <r>
    <d v="2025-06-05T00:00:00"/>
    <s v="PK002"/>
    <x v="4"/>
    <s v="Kemasan"/>
    <x v="12"/>
    <n v="0"/>
    <n v="700"/>
    <n v="10000"/>
    <n v="9300"/>
    <s v="Pcs"/>
    <s v="Digunakan Packaging"/>
  </r>
  <r>
    <d v="2025-06-05T00:00:00"/>
    <s v="RM001"/>
    <x v="10"/>
    <s v="Bahan Baku"/>
    <x v="0"/>
    <n v="0"/>
    <n v="450"/>
    <n v="2800"/>
    <n v="2350"/>
    <s v="Kg"/>
    <s v="Digunakan Produksi"/>
  </r>
  <r>
    <d v="2025-06-06T00:00:00"/>
    <s v="PK001"/>
    <x v="3"/>
    <s v="Kemasan"/>
    <x v="10"/>
    <n v="400"/>
    <n v="0"/>
    <n v="2670"/>
    <n v="3070"/>
    <s v="Pcs"/>
    <s v="Restock Kemasan"/>
  </r>
  <r>
    <d v="2025-06-06T00:00:00"/>
    <s v="PK006"/>
    <x v="6"/>
    <s v="Kemasan"/>
    <x v="8"/>
    <n v="60"/>
    <n v="0"/>
    <n v="210"/>
    <n v="270"/>
    <s v="Pcs"/>
    <s v="Restock Kemasan"/>
  </r>
  <r>
    <d v="2025-06-07T00:00:00"/>
    <s v="AD002"/>
    <x v="12"/>
    <s v="Bahan Tambahan"/>
    <x v="29"/>
    <n v="130"/>
    <n v="0"/>
    <n v="530"/>
    <n v="660"/>
    <s v="Kg"/>
    <s v="Restock Bahan Tambahan"/>
  </r>
  <r>
    <d v="2025-06-07T00:00:00"/>
    <s v="FG001"/>
    <x v="15"/>
    <s v="Produk"/>
    <x v="24"/>
    <n v="600"/>
    <n v="0"/>
    <n v="1300"/>
    <n v="1900"/>
    <s v="Pcs"/>
    <s v="Hasil Produksi"/>
  </r>
  <r>
    <d v="2025-06-08T00:00:00"/>
    <s v="PK004"/>
    <x v="8"/>
    <s v="Kemasan"/>
    <x v="10"/>
    <n v="0"/>
    <n v="600"/>
    <n v="9850"/>
    <n v="9250"/>
    <s v="Pcs"/>
    <s v="Digunakan Packaging"/>
  </r>
  <r>
    <d v="2025-06-09T00:00:00"/>
    <s v="PK001"/>
    <x v="3"/>
    <s v="Kemasan"/>
    <x v="3"/>
    <n v="0"/>
    <n v="220"/>
    <n v="3070"/>
    <n v="2850"/>
    <s v="Pcs"/>
    <s v="Digunakan Packaging"/>
  </r>
  <r>
    <d v="2025-06-09T00:00:00"/>
    <s v="RM003"/>
    <x v="17"/>
    <s v="Bahan Baku"/>
    <x v="0"/>
    <n v="280"/>
    <n v="0"/>
    <n v="1450"/>
    <n v="1730"/>
    <s v="Kg"/>
    <s v="Restock Bahan Baku"/>
  </r>
  <r>
    <d v="2025-06-09T00:00:00"/>
    <s v="RM004"/>
    <x v="19"/>
    <s v="Bahan Baku"/>
    <x v="0"/>
    <n v="0"/>
    <n v="350"/>
    <n v="2150"/>
    <n v="1800"/>
    <s v="Kg"/>
    <s v="Digunakan Produksi"/>
  </r>
  <r>
    <d v="2025-06-10T00:00:00"/>
    <s v="AD003"/>
    <x v="13"/>
    <s v="Bahan Tambahan"/>
    <x v="1"/>
    <n v="0"/>
    <n v="210"/>
    <n v="960"/>
    <n v="750"/>
    <s v="Kg"/>
    <s v="Digunakan Produksi"/>
  </r>
  <r>
    <d v="2025-06-10T00:00:00"/>
    <s v="AD005"/>
    <x v="7"/>
    <s v="Bahan Tambahan"/>
    <x v="31"/>
    <n v="0"/>
    <n v="25"/>
    <n v="500"/>
    <n v="475"/>
    <s v="Kg"/>
    <s v="Digunakan Produksi"/>
  </r>
  <r>
    <d v="2025-06-10T00:00:00"/>
    <s v="PK005"/>
    <x v="18"/>
    <s v="Kemasan"/>
    <x v="34"/>
    <n v="0"/>
    <n v="500"/>
    <n v="2200"/>
    <n v="1700"/>
    <s v="Pcs"/>
    <s v="Digunakan Packaging"/>
  </r>
  <r>
    <d v="2025-06-10T00:00:00"/>
    <s v="RM005"/>
    <x v="5"/>
    <s v="Bahan Baku"/>
    <x v="5"/>
    <n v="0"/>
    <n v="210"/>
    <n v="1700"/>
    <n v="1490"/>
    <s v="Kg"/>
    <s v="Digunakan Produksi"/>
  </r>
  <r>
    <d v="2025-06-11T00:00:00"/>
    <s v="AD001"/>
    <x v="11"/>
    <s v="Bahan Tambahan"/>
    <x v="13"/>
    <n v="0"/>
    <n v="120"/>
    <n v="390"/>
    <n v="270"/>
    <s v="Kg"/>
    <s v="Digunakan Produksi"/>
  </r>
  <r>
    <d v="2025-06-11T00:00:00"/>
    <s v="RM002"/>
    <x v="9"/>
    <s v="Bahan Baku"/>
    <x v="0"/>
    <n v="0"/>
    <n v="350"/>
    <n v="2350"/>
    <n v="2000"/>
    <s v="Kg"/>
    <s v="Digunakan Produksi"/>
  </r>
  <r>
    <d v="2025-06-12T00:00:00"/>
    <s v="FG002"/>
    <x v="16"/>
    <s v="Produk"/>
    <x v="1"/>
    <n v="0"/>
    <n v="700"/>
    <n v="2100"/>
    <n v="1400"/>
    <s v="Pcs"/>
    <s v="Distribusi ke Customer"/>
  </r>
  <r>
    <d v="2025-06-12T00:00:00"/>
    <s v="PK006"/>
    <x v="6"/>
    <s v="Kemasan"/>
    <x v="32"/>
    <n v="0"/>
    <n v="50"/>
    <n v="270"/>
    <n v="220"/>
    <s v="Pcs"/>
    <s v="Digunakan Packaging"/>
  </r>
  <r>
    <d v="2025-06-13T00:00:00"/>
    <s v="RM001"/>
    <x v="10"/>
    <s v="Bahan Baku"/>
    <x v="11"/>
    <n v="500"/>
    <n v="0"/>
    <n v="2350"/>
    <n v="2850"/>
    <s v="Kg"/>
    <s v="Restock Bahan Baku"/>
  </r>
  <r>
    <d v="2025-06-14T00:00:00"/>
    <s v="AD004"/>
    <x v="14"/>
    <s v="Bahan Tambahan"/>
    <x v="9"/>
    <n v="0"/>
    <n v="120"/>
    <n v="550"/>
    <n v="430"/>
    <s v="Kg"/>
    <s v="Digunakan Produksi"/>
  </r>
  <r>
    <d v="2025-06-14T00:00:00"/>
    <s v="FG001"/>
    <x v="15"/>
    <s v="Produk"/>
    <x v="15"/>
    <n v="0"/>
    <n v="500"/>
    <n v="1900"/>
    <n v="1400"/>
    <s v="Pcs"/>
    <s v="Distribusi ke Customer"/>
  </r>
  <r>
    <d v="2025-06-14T00:00:00"/>
    <s v="PK004"/>
    <x v="8"/>
    <s v="Kemasan"/>
    <x v="21"/>
    <n v="700"/>
    <n v="0"/>
    <n v="9250"/>
    <n v="9950"/>
    <s v="Pcs"/>
    <s v="Restock Kemasan"/>
  </r>
  <r>
    <d v="2025-06-15T00:00:00"/>
    <s v="AD002"/>
    <x v="12"/>
    <s v="Bahan Tambahan"/>
    <x v="14"/>
    <n v="0"/>
    <n v="100"/>
    <n v="660"/>
    <n v="560"/>
    <s v="Kg"/>
    <s v="Digunakan Produksi"/>
  </r>
  <r>
    <d v="2025-06-15T00:00:00"/>
    <s v="PK003"/>
    <x v="20"/>
    <s v="Kemasan"/>
    <x v="4"/>
    <n v="1100"/>
    <n v="0"/>
    <n v="7400"/>
    <n v="8500"/>
    <s v="Pcs"/>
    <s v="Restock Kemasan"/>
  </r>
  <r>
    <d v="2025-06-16T00:00:00"/>
    <s v="RM002"/>
    <x v="9"/>
    <s v="Bahan Baku"/>
    <x v="5"/>
    <n v="300"/>
    <n v="0"/>
    <n v="2000"/>
    <n v="2300"/>
    <s v="Kg"/>
    <s v="Restock Bahan Baku"/>
  </r>
  <r>
    <d v="2025-06-17T00:00:00"/>
    <s v="PK005"/>
    <x v="18"/>
    <s v="Kemasan"/>
    <x v="30"/>
    <n v="400"/>
    <n v="0"/>
    <n v="1700"/>
    <n v="2100"/>
    <s v="Pcs"/>
    <s v="Restock Kemasan"/>
  </r>
  <r>
    <d v="2025-06-17T00:00:00"/>
    <s v="RM003"/>
    <x v="17"/>
    <s v="Bahan Baku"/>
    <x v="0"/>
    <n v="0"/>
    <n v="260"/>
    <n v="1730"/>
    <n v="1470"/>
    <s v="Kg"/>
    <s v="Digunakan Produksi"/>
  </r>
  <r>
    <d v="2025-06-18T00:00:00"/>
    <s v="AD005"/>
    <x v="7"/>
    <s v="Bahan Tambahan"/>
    <x v="9"/>
    <n v="45"/>
    <n v="0"/>
    <n v="475"/>
    <n v="520"/>
    <s v="Kg"/>
    <s v="Restock Bahan Tambahan"/>
  </r>
  <r>
    <d v="2025-06-18T00:00:00"/>
    <s v="RM004"/>
    <x v="19"/>
    <s v="Bahan Baku"/>
    <x v="11"/>
    <n v="300"/>
    <n v="0"/>
    <n v="1800"/>
    <n v="2100"/>
    <s v="Kg"/>
    <s v="Restock Bahan Baku"/>
  </r>
  <r>
    <d v="2025-06-18T00:00:00"/>
    <s v="RM005"/>
    <x v="5"/>
    <s v="Bahan Baku"/>
    <x v="11"/>
    <n v="280"/>
    <n v="0"/>
    <n v="1490"/>
    <n v="1770"/>
    <s v="Kg"/>
    <s v="Restock Bahan Baku"/>
  </r>
  <r>
    <d v="2025-06-19T00:00:00"/>
    <s v="AD001"/>
    <x v="11"/>
    <s v="Bahan Tambahan"/>
    <x v="18"/>
    <n v="90"/>
    <n v="0"/>
    <n v="270"/>
    <n v="360"/>
    <s v="Kg"/>
    <s v="Restock Bahan Tambahan"/>
  </r>
  <r>
    <d v="2025-06-19T00:00:00"/>
    <s v="AD003"/>
    <x v="13"/>
    <s v="Bahan Tambahan"/>
    <x v="0"/>
    <n v="180"/>
    <n v="0"/>
    <n v="750"/>
    <n v="930"/>
    <s v="Kg"/>
    <s v="Restock Bahan Tambahan"/>
  </r>
  <r>
    <d v="2025-06-19T00:00:00"/>
    <s v="PK006"/>
    <x v="6"/>
    <s v="Kemasan"/>
    <x v="17"/>
    <n v="40"/>
    <n v="0"/>
    <n v="220"/>
    <n v="260"/>
    <s v="Pcs"/>
    <s v="Restock Kemasan"/>
  </r>
  <r>
    <d v="2025-06-20T00:00:00"/>
    <s v="FG002"/>
    <x v="16"/>
    <s v="Produk"/>
    <x v="0"/>
    <n v="700"/>
    <n v="0"/>
    <n v="1400"/>
    <n v="2100"/>
    <s v="Pcs"/>
    <s v="Hasil Produksi"/>
  </r>
  <r>
    <d v="2025-06-21T00:00:00"/>
    <s v="AD004"/>
    <x v="14"/>
    <s v="Bahan Tambahan"/>
    <x v="19"/>
    <n v="130"/>
    <n v="0"/>
    <n v="430"/>
    <n v="560"/>
    <s v="Kg"/>
    <s v="Restock Bahan Tambahan"/>
  </r>
  <r>
    <d v="2025-06-21T00:00:00"/>
    <s v="RM001"/>
    <x v="10"/>
    <s v="Bahan Baku"/>
    <x v="5"/>
    <n v="0"/>
    <n v="400"/>
    <n v="2850"/>
    <n v="2450"/>
    <s v="Kg"/>
    <s v="Digunakan Produksi"/>
  </r>
  <r>
    <d v="2025-06-22T00:00:00"/>
    <s v="AD002"/>
    <x v="12"/>
    <s v="Bahan Tambahan"/>
    <x v="23"/>
    <n v="110"/>
    <n v="0"/>
    <n v="560"/>
    <n v="670"/>
    <s v="Kg"/>
    <s v="Restock Bahan Tambahan"/>
  </r>
  <r>
    <d v="2025-06-22T00:00:00"/>
    <s v="FG001"/>
    <x v="15"/>
    <s v="Produk"/>
    <x v="20"/>
    <n v="700"/>
    <n v="0"/>
    <n v="1400"/>
    <n v="2100"/>
    <s v="Pcs"/>
    <s v="Hasil Produksi"/>
  </r>
  <r>
    <d v="2025-06-23T00:00:00"/>
    <s v="FG003"/>
    <x v="0"/>
    <s v="Produk"/>
    <x v="0"/>
    <n v="700"/>
    <n v="0"/>
    <n v="2500"/>
    <n v="3200"/>
    <s v="Pcs"/>
    <s v="Hasil Produksi"/>
  </r>
  <r>
    <d v="2025-06-24T00:00:00"/>
    <s v="FG003"/>
    <x v="0"/>
    <s v="Produk"/>
    <x v="5"/>
    <n v="0"/>
    <n v="650"/>
    <n v="3200"/>
    <n v="2550"/>
    <s v="Pcs"/>
    <s v="Distribusi ke Customer"/>
  </r>
  <r>
    <d v="2025-06-24T00:00:00"/>
    <s v="PK005"/>
    <x v="18"/>
    <s v="Kemasan"/>
    <x v="30"/>
    <n v="0"/>
    <n v="350"/>
    <n v="2100"/>
    <n v="1750"/>
    <s v="Pcs"/>
    <s v="Digunakan Packaging"/>
  </r>
  <r>
    <d v="2025-06-25T00:00:00"/>
    <s v="FG003"/>
    <x v="0"/>
    <s v="Produk"/>
    <x v="1"/>
    <n v="600"/>
    <n v="0"/>
    <n v="2550"/>
    <n v="3150"/>
    <s v="Pcs"/>
    <s v="Hasil Produksi"/>
  </r>
  <r>
    <d v="2025-06-25T00:00:00"/>
    <s v="FG004"/>
    <x v="1"/>
    <s v="Produk"/>
    <x v="0"/>
    <n v="0"/>
    <n v="450"/>
    <n v="2000"/>
    <n v="1550"/>
    <s v="Pcs"/>
    <s v="Distribusi ke Customer"/>
  </r>
  <r>
    <d v="2025-06-25T00:00:00"/>
    <s v="RM003"/>
    <x v="17"/>
    <s v="Bahan Baku"/>
    <x v="11"/>
    <n v="300"/>
    <n v="0"/>
    <n v="1470"/>
    <n v="1770"/>
    <s v="Kg"/>
    <s v="Restock Bahan Baku"/>
  </r>
  <r>
    <d v="2025-06-25T00:00:00"/>
    <s v="RM005"/>
    <x v="5"/>
    <s v="Bahan Baku"/>
    <x v="11"/>
    <n v="0"/>
    <n v="200"/>
    <n v="1770"/>
    <n v="1570"/>
    <s v="Kg"/>
    <s v="Digunakan Produksi"/>
  </r>
  <r>
    <d v="2025-06-26T00:00:00"/>
    <s v="AD003"/>
    <x v="13"/>
    <s v="Bahan Tambahan"/>
    <x v="5"/>
    <n v="0"/>
    <n v="170"/>
    <n v="930"/>
    <n v="760"/>
    <s v="Kg"/>
    <s v="Digunakan Produksi"/>
  </r>
  <r>
    <d v="2025-06-26T00:00:00"/>
    <s v="AD005"/>
    <x v="7"/>
    <s v="Bahan Tambahan"/>
    <x v="22"/>
    <n v="0"/>
    <n v="30"/>
    <n v="520"/>
    <n v="490"/>
    <s v="Kg"/>
    <s v="Digunakan Produksi"/>
  </r>
  <r>
    <d v="2025-06-26T00:00:00"/>
    <s v="FG003"/>
    <x v="0"/>
    <s v="Produk"/>
    <x v="0"/>
    <n v="0"/>
    <n v="550"/>
    <n v="3150"/>
    <n v="2600"/>
    <s v="Pcs"/>
    <s v="Distribusi ke Customer"/>
  </r>
  <r>
    <d v="2025-06-26T00:00:00"/>
    <s v="PK006"/>
    <x v="6"/>
    <s v="Kemasan"/>
    <x v="8"/>
    <n v="0"/>
    <n v="30"/>
    <n v="260"/>
    <n v="230"/>
    <s v="Pcs"/>
    <s v="Digunakan Packaging"/>
  </r>
  <r>
    <d v="2025-06-27T00:00:00"/>
    <s v="FG002"/>
    <x v="16"/>
    <s v="Produk"/>
    <x v="5"/>
    <n v="0"/>
    <n v="600"/>
    <n v="2100"/>
    <n v="1500"/>
    <s v="Pcs"/>
    <s v="Distribusi ke Customer"/>
  </r>
  <r>
    <d v="2025-06-27T00:00:00"/>
    <s v="PK004"/>
    <x v="8"/>
    <s v="Kemasan"/>
    <x v="25"/>
    <n v="0"/>
    <n v="500"/>
    <n v="9950"/>
    <n v="9450"/>
    <s v="Pcs"/>
    <s v="Digunakan Packaging"/>
  </r>
  <r>
    <d v="2025-06-27T00:00:00"/>
    <s v="RM004"/>
    <x v="19"/>
    <s v="Bahan Baku"/>
    <x v="28"/>
    <n v="0"/>
    <n v="250"/>
    <n v="2100"/>
    <n v="1850"/>
    <s v="Kg"/>
    <s v="Digunakan Produksi"/>
  </r>
  <r>
    <d v="2025-06-28T00:00:00"/>
    <s v="AD001"/>
    <x v="11"/>
    <s v="Bahan Tambahan"/>
    <x v="26"/>
    <n v="0"/>
    <n v="95"/>
    <n v="360"/>
    <n v="265"/>
    <s v="Kg"/>
    <s v="Digunakan Produksi"/>
  </r>
  <r>
    <d v="2025-06-28T00:00:00"/>
    <s v="FG003"/>
    <x v="0"/>
    <s v="Produk"/>
    <x v="5"/>
    <n v="650"/>
    <n v="0"/>
    <n v="2600"/>
    <n v="3250"/>
    <s v="Pcs"/>
    <s v="Hasil Produksi"/>
  </r>
  <r>
    <d v="2025-06-29T00:00:00"/>
    <s v="AD002"/>
    <x v="12"/>
    <s v="Bahan Tambahan"/>
    <x v="29"/>
    <n v="0"/>
    <n v="95"/>
    <n v="670"/>
    <n v="575"/>
    <s v="Kg"/>
    <s v="Digunakan Produksi"/>
  </r>
  <r>
    <d v="2025-06-29T00:00:00"/>
    <s v="AD004"/>
    <x v="14"/>
    <s v="Bahan Tambahan"/>
    <x v="27"/>
    <n v="0"/>
    <n v="150"/>
    <n v="560"/>
    <n v="410"/>
    <s v="Kg"/>
    <s v="Digunakan Produksi"/>
  </r>
  <r>
    <d v="2025-06-29T00:00:00"/>
    <s v="FG001"/>
    <x v="15"/>
    <s v="Produk"/>
    <x v="24"/>
    <n v="0"/>
    <n v="600"/>
    <n v="2100"/>
    <n v="1500"/>
    <s v="Pcs"/>
    <s v="Distribusi ke Customer"/>
  </r>
  <r>
    <d v="2025-06-29T00:00:00"/>
    <s v="FG003"/>
    <x v="0"/>
    <s v="Produk"/>
    <x v="1"/>
    <n v="0"/>
    <n v="600"/>
    <n v="3250"/>
    <n v="2650"/>
    <s v="Pcs"/>
    <s v="Distribusi ke Customer"/>
  </r>
  <r>
    <d v="2025-06-29T00:00:00"/>
    <s v="RM002"/>
    <x v="9"/>
    <s v="Bahan Baku"/>
    <x v="11"/>
    <n v="0"/>
    <n v="250"/>
    <n v="2300"/>
    <n v="2050"/>
    <s v="Kg"/>
    <s v="Digunakan Produksi"/>
  </r>
  <r>
    <d v="2025-06-30T00:00:00"/>
    <s v="FG005"/>
    <x v="2"/>
    <s v="Produk"/>
    <x v="6"/>
    <n v="0"/>
    <n v="450"/>
    <n v="2800"/>
    <n v="2350"/>
    <s v="Pcs"/>
    <s v="Distribusi ke Customer"/>
  </r>
  <r>
    <d v="2025-06-30T00:00:00"/>
    <s v="RM001"/>
    <x v="10"/>
    <s v="Bahan Baku"/>
    <x v="0"/>
    <n v="550"/>
    <n v="0"/>
    <n v="2450"/>
    <n v="3000"/>
    <s v="Kg"/>
    <s v="Restock Bahan Baku"/>
  </r>
  <r>
    <d v="2025-07-01T00:00:00"/>
    <s v="FG002"/>
    <x v="16"/>
    <s v="Produk"/>
    <x v="1"/>
    <n v="800"/>
    <n v="0"/>
    <n v="1500"/>
    <n v="2300"/>
    <s v="Pcs"/>
    <s v="Hasil Produksi"/>
  </r>
  <r>
    <d v="2025-07-01T00:00:00"/>
    <s v="FG003"/>
    <x v="0"/>
    <s v="Produk"/>
    <x v="0"/>
    <n v="700"/>
    <n v="0"/>
    <n v="2650"/>
    <n v="3350"/>
    <s v="Pcs"/>
    <s v="Hasil Produksi"/>
  </r>
  <r>
    <d v="2025-07-01T00:00:00"/>
    <s v="FG005"/>
    <x v="2"/>
    <s v="Produk"/>
    <x v="5"/>
    <n v="600"/>
    <n v="0"/>
    <n v="2350"/>
    <n v="2950"/>
    <s v="Pcs"/>
    <s v="Hasil Produksi"/>
  </r>
  <r>
    <d v="2025-07-02T00:00:00"/>
    <s v="FG003"/>
    <x v="0"/>
    <s v="Produk"/>
    <x v="5"/>
    <n v="0"/>
    <n v="650"/>
    <n v="3350"/>
    <n v="2700"/>
    <s v="Pcs"/>
    <s v="Distribusi ke Customer"/>
  </r>
  <r>
    <d v="2025-07-02T00:00:00"/>
    <s v="FG005"/>
    <x v="2"/>
    <s v="Produk"/>
    <x v="2"/>
    <n v="0"/>
    <n v="500"/>
    <n v="2950"/>
    <n v="2450"/>
    <s v="Pcs"/>
    <s v="Distribusi ke Customer"/>
  </r>
  <r>
    <d v="2025-07-02T00:00:00"/>
    <s v="PK005"/>
    <x v="18"/>
    <s v="Kemasan"/>
    <x v="16"/>
    <n v="500"/>
    <n v="0"/>
    <n v="1750"/>
    <n v="2250"/>
    <s v="Pcs"/>
    <s v="Restock Kemasan"/>
  </r>
  <r>
    <d v="2025-07-02T00:00:00"/>
    <s v="RM005"/>
    <x v="5"/>
    <s v="Bahan Baku"/>
    <x v="0"/>
    <n v="310"/>
    <n v="0"/>
    <n v="1570"/>
    <n v="1880"/>
    <s v="Kg"/>
    <s v="Restock Bahan Baku"/>
  </r>
  <r>
    <d v="2025-07-03T00:00:00"/>
    <s v="AD003"/>
    <x v="13"/>
    <s v="Bahan Tambahan"/>
    <x v="1"/>
    <n v="210"/>
    <n v="0"/>
    <n v="760"/>
    <n v="970"/>
    <s v="Kg"/>
    <s v="Restock Bahan Tambahan"/>
  </r>
  <r>
    <d v="2025-07-03T00:00:00"/>
    <s v="AD004"/>
    <x v="14"/>
    <s v="Bahan Tambahan"/>
    <x v="9"/>
    <n v="160"/>
    <n v="0"/>
    <n v="410"/>
    <n v="570"/>
    <s v="Kg"/>
    <s v="Restock Bahan Tambahan"/>
  </r>
  <r>
    <d v="2025-07-03T00:00:00"/>
    <s v="PK004"/>
    <x v="8"/>
    <s v="Kemasan"/>
    <x v="10"/>
    <n v="1000"/>
    <n v="0"/>
    <n v="9450"/>
    <n v="10450"/>
    <s v="Pcs"/>
    <s v="Restock Kemasan"/>
  </r>
  <r>
    <d v="2025-07-03T00:00:00"/>
    <s v="RM003"/>
    <x v="17"/>
    <s v="Bahan Baku"/>
    <x v="5"/>
    <n v="0"/>
    <n v="320"/>
    <n v="1770"/>
    <n v="1450"/>
    <s v="Kg"/>
    <s v="Digunakan Produksi"/>
  </r>
  <r>
    <d v="2025-07-04T00:00:00"/>
    <s v="AD001"/>
    <x v="11"/>
    <s v="Bahan Tambahan"/>
    <x v="13"/>
    <n v="120"/>
    <n v="0"/>
    <n v="265"/>
    <n v="385"/>
    <s v="Kg"/>
    <s v="Restock Bahan Tambahan"/>
  </r>
  <r>
    <d v="2025-07-04T00:00:00"/>
    <s v="FG003"/>
    <x v="0"/>
    <s v="Produk"/>
    <x v="1"/>
    <n v="600"/>
    <n v="0"/>
    <n v="2700"/>
    <n v="3300"/>
    <s v="Pcs"/>
    <s v="Hasil Produksi"/>
  </r>
  <r>
    <d v="2025-07-04T00:00:00"/>
    <s v="FG005"/>
    <x v="2"/>
    <s v="Produk"/>
    <x v="6"/>
    <n v="550"/>
    <n v="0"/>
    <n v="2450"/>
    <n v="3000"/>
    <s v="Pcs"/>
    <s v="Hasil Produksi"/>
  </r>
  <r>
    <d v="2025-07-04T00:00:00"/>
    <s v="PK006"/>
    <x v="6"/>
    <s v="Kemasan"/>
    <x v="32"/>
    <n v="70"/>
    <n v="0"/>
    <n v="230"/>
    <n v="300"/>
    <s v="Pcs"/>
    <s v="Restock Kemasan"/>
  </r>
  <r>
    <d v="2025-07-04T00:00:00"/>
    <s v="RM002"/>
    <x v="9"/>
    <s v="Bahan Baku"/>
    <x v="0"/>
    <n v="450"/>
    <n v="0"/>
    <n v="2050"/>
    <n v="2500"/>
    <s v="Kg"/>
    <s v="Restock Bahan Baku"/>
  </r>
  <r>
    <d v="2025-07-04T00:00:00"/>
    <s v="RM004"/>
    <x v="19"/>
    <s v="Bahan Baku"/>
    <x v="0"/>
    <n v="400"/>
    <n v="0"/>
    <n v="1850"/>
    <n v="2250"/>
    <s v="Kg"/>
    <s v="Restock Bahan Baku"/>
  </r>
  <r>
    <d v="2025-07-05T00:00:00"/>
    <s v="AD002"/>
    <x v="12"/>
    <s v="Bahan Tambahan"/>
    <x v="14"/>
    <n v="140"/>
    <n v="0"/>
    <n v="575"/>
    <n v="715"/>
    <s v="Kg"/>
    <s v="Restock Bahan Tambahan"/>
  </r>
  <r>
    <d v="2025-07-05T00:00:00"/>
    <s v="AD005"/>
    <x v="7"/>
    <s v="Bahan Tambahan"/>
    <x v="31"/>
    <n v="55"/>
    <n v="0"/>
    <n v="490"/>
    <n v="545"/>
    <s v="Kg"/>
    <s v="Restock Bahan Tambahan"/>
  </r>
  <r>
    <d v="2025-07-05T00:00:00"/>
    <s v="FG001"/>
    <x v="15"/>
    <s v="Produk"/>
    <x v="15"/>
    <n v="800"/>
    <n v="0"/>
    <n v="1500"/>
    <n v="2300"/>
    <s v="Pcs"/>
    <s v="Hasil Produksi"/>
  </r>
  <r>
    <d v="2025-07-05T00:00:00"/>
    <s v="FG003"/>
    <x v="0"/>
    <s v="Produk"/>
    <x v="0"/>
    <n v="0"/>
    <n v="550"/>
    <n v="3300"/>
    <n v="2750"/>
    <s v="Pcs"/>
    <s v="Distribusi ke Customer"/>
  </r>
  <r>
    <d v="2025-07-06T00:00:00"/>
    <s v="FG005"/>
    <x v="2"/>
    <s v="Produk"/>
    <x v="5"/>
    <n v="0"/>
    <n v="450"/>
    <n v="3000"/>
    <n v="2550"/>
    <s v="Pcs"/>
    <s v="Distribusi ke Customer"/>
  </r>
  <r>
    <d v="2025-07-07T00:00:00"/>
    <s v="RM001"/>
    <x v="10"/>
    <s v="Bahan Baku"/>
    <x v="11"/>
    <n v="0"/>
    <n v="450"/>
    <n v="3000"/>
    <n v="2550"/>
    <s v="Kg"/>
    <s v="Digunakan Produksi"/>
  </r>
  <r>
    <d v="2025-07-08T00:00:00"/>
    <s v="PK002"/>
    <x v="4"/>
    <s v="Kemasan"/>
    <x v="4"/>
    <n v="1000"/>
    <n v="0"/>
    <n v="9300"/>
    <n v="10300"/>
    <s v="Pcs"/>
    <s v="Restock Kemasan"/>
  </r>
  <r>
    <d v="2025-07-08T00:00:00"/>
    <s v="PK005"/>
    <x v="18"/>
    <s v="Kemasan"/>
    <x v="16"/>
    <n v="0"/>
    <n v="400"/>
    <n v="2250"/>
    <n v="1850"/>
    <s v="Pcs"/>
    <s v="Digunakan Packaging"/>
  </r>
  <r>
    <d v="2025-07-09T00:00:00"/>
    <s v="RM005"/>
    <x v="5"/>
    <s v="Bahan Baku"/>
    <x v="0"/>
    <n v="0"/>
    <n v="220"/>
    <n v="1880"/>
    <n v="1660"/>
    <s v="Kg"/>
    <s v="Digunakan Produksi"/>
  </r>
  <r>
    <d v="2025-07-10T00:00:00"/>
    <s v="AD004"/>
    <x v="14"/>
    <s v="Bahan Tambahan"/>
    <x v="19"/>
    <n v="0"/>
    <n v="140"/>
    <n v="570"/>
    <n v="430"/>
    <s v="Kg"/>
    <s v="Digunakan Produksi"/>
  </r>
  <r>
    <d v="2025-07-10T00:00:00"/>
    <s v="FG002"/>
    <x v="16"/>
    <s v="Produk"/>
    <x v="0"/>
    <n v="0"/>
    <n v="500"/>
    <n v="2300"/>
    <n v="1800"/>
    <s v="Pcs"/>
    <s v="Distribusi ke Customer"/>
  </r>
  <r>
    <d v="2025-07-10T00:00:00"/>
    <s v="PK001"/>
    <x v="3"/>
    <s v="Kemasan"/>
    <x v="3"/>
    <n v="500"/>
    <n v="0"/>
    <n v="2850"/>
    <n v="3350"/>
    <s v="Pcs"/>
    <s v="Restock Kemasan"/>
  </r>
  <r>
    <d v="2025-07-10T00:00:00"/>
    <s v="PK002"/>
    <x v="4"/>
    <s v="Kemasan"/>
    <x v="7"/>
    <n v="0"/>
    <n v="600"/>
    <n v="10300"/>
    <n v="9700"/>
    <s v="Pcs"/>
    <s v="Digunakan Packaging"/>
  </r>
  <r>
    <d v="2025-07-11T00:00:00"/>
    <s v="AD003"/>
    <x v="13"/>
    <s v="Bahan Tambahan"/>
    <x v="0"/>
    <n v="0"/>
    <n v="190"/>
    <n v="970"/>
    <n v="780"/>
    <s v="Kg"/>
    <s v="Digunakan Produksi"/>
  </r>
  <r>
    <d v="2025-07-11T00:00:00"/>
    <s v="PK004"/>
    <x v="8"/>
    <s v="Kemasan"/>
    <x v="21"/>
    <n v="0"/>
    <n v="500"/>
    <n v="10450"/>
    <n v="9950"/>
    <s v="Pcs"/>
    <s v="Digunakan Packaging"/>
  </r>
  <r>
    <d v="2025-07-11T00:00:00"/>
    <s v="PK006"/>
    <x v="6"/>
    <s v="Kemasan"/>
    <x v="8"/>
    <n v="0"/>
    <n v="60"/>
    <n v="300"/>
    <n v="240"/>
    <s v="Pcs"/>
    <s v="Digunakan Packaging"/>
  </r>
  <r>
    <d v="2025-07-11T00:00:00"/>
    <s v="RM003"/>
    <x v="17"/>
    <s v="Bahan Baku"/>
    <x v="0"/>
    <n v="260"/>
    <n v="0"/>
    <n v="1450"/>
    <n v="1710"/>
    <s v="Kg"/>
    <s v="Restock Bahan Baku"/>
  </r>
  <r>
    <d v="2025-07-12T00:00:00"/>
    <s v="AD001"/>
    <x v="11"/>
    <s v="Bahan Tambahan"/>
    <x v="18"/>
    <n v="0"/>
    <n v="105"/>
    <n v="385"/>
    <n v="280"/>
    <s v="Kg"/>
    <s v="Digunakan Produksi"/>
  </r>
  <r>
    <d v="2025-07-12T00:00:00"/>
    <s v="FG001"/>
    <x v="15"/>
    <s v="Produk"/>
    <x v="20"/>
    <n v="0"/>
    <n v="700"/>
    <n v="2300"/>
    <n v="1600"/>
    <s v="Pcs"/>
    <s v="Distribusi ke Customer"/>
  </r>
  <r>
    <d v="2025-07-12T00:00:00"/>
    <s v="PK001"/>
    <x v="3"/>
    <s v="Kemasan"/>
    <x v="4"/>
    <n v="0"/>
    <n v="300"/>
    <n v="3350"/>
    <n v="3050"/>
    <s v="Pcs"/>
    <s v="Digunakan Packaging"/>
  </r>
  <r>
    <d v="2025-07-12T00:00:00"/>
    <s v="PK002"/>
    <x v="4"/>
    <s v="Kemasan"/>
    <x v="12"/>
    <n v="1100"/>
    <n v="0"/>
    <n v="9700"/>
    <n v="10800"/>
    <s v="Pcs"/>
    <s v="Restock Kemasan"/>
  </r>
  <r>
    <d v="2025-07-12T00:00:00"/>
    <s v="RM002"/>
    <x v="9"/>
    <s v="Bahan Baku"/>
    <x v="5"/>
    <n v="0"/>
    <n v="350"/>
    <n v="2500"/>
    <n v="2150"/>
    <s v="Kg"/>
    <s v="Digunakan Produksi"/>
  </r>
  <r>
    <d v="2025-07-12T00:00:00"/>
    <s v="RM004"/>
    <x v="19"/>
    <s v="Bahan Baku"/>
    <x v="11"/>
    <n v="0"/>
    <n v="300"/>
    <n v="2250"/>
    <n v="1950"/>
    <s v="Kg"/>
    <s v="Digunakan Produksi"/>
  </r>
  <r>
    <d v="2025-07-13T00:00:00"/>
    <s v="AD002"/>
    <x v="12"/>
    <s v="Bahan Tambahan"/>
    <x v="23"/>
    <n v="0"/>
    <n v="90"/>
    <n v="715"/>
    <n v="625"/>
    <s v="Kg"/>
    <s v="Digunakan Produksi"/>
  </r>
  <r>
    <d v="2025-07-13T00:00:00"/>
    <s v="AD005"/>
    <x v="7"/>
    <s v="Bahan Tambahan"/>
    <x v="9"/>
    <n v="0"/>
    <n v="35"/>
    <n v="545"/>
    <n v="510"/>
    <s v="Kg"/>
    <s v="Digunakan Produksi"/>
  </r>
  <r>
    <d v="2025-07-15T00:00:00"/>
    <s v="PK001"/>
    <x v="3"/>
    <s v="Kemasan"/>
    <x v="10"/>
    <n v="400"/>
    <n v="0"/>
    <n v="3050"/>
    <n v="3450"/>
    <s v="Pcs"/>
    <s v="Restock Kemasan"/>
  </r>
  <r>
    <d v="2025-07-15T00:00:00"/>
    <s v="RM001"/>
    <x v="10"/>
    <s v="Bahan Baku"/>
    <x v="5"/>
    <n v="600"/>
    <n v="0"/>
    <n v="2550"/>
    <n v="3150"/>
    <s v="Kg"/>
    <s v="Restock Bahan Baku"/>
  </r>
  <r>
    <d v="2025-07-16T00:00:00"/>
    <s v="PK005"/>
    <x v="18"/>
    <s v="Kemasan"/>
    <x v="30"/>
    <n v="300"/>
    <n v="0"/>
    <n v="1850"/>
    <n v="2150"/>
    <s v="Pcs"/>
    <s v="Restock Kemasan"/>
  </r>
  <r>
    <d v="2025-07-16T00:00:00"/>
    <s v="RM005"/>
    <x v="5"/>
    <s v="Bahan Baku"/>
    <x v="5"/>
    <n v="260"/>
    <n v="0"/>
    <n v="1660"/>
    <n v="1920"/>
    <s v="Kg"/>
    <s v="Restock Bahan Baku"/>
  </r>
  <r>
    <d v="2025-07-18T00:00:00"/>
    <s v="AD003"/>
    <x v="13"/>
    <s v="Bahan Tambahan"/>
    <x v="5"/>
    <n v="160"/>
    <n v="0"/>
    <n v="780"/>
    <n v="940"/>
    <s v="Kg"/>
    <s v="Restock Bahan Tambahan"/>
  </r>
  <r>
    <d v="2025-07-18T00:00:00"/>
    <s v="FG002"/>
    <x v="16"/>
    <s v="Produk"/>
    <x v="5"/>
    <n v="700"/>
    <n v="0"/>
    <n v="1800"/>
    <n v="2500"/>
    <s v="Pcs"/>
    <s v="Hasil Produksi"/>
  </r>
  <r>
    <d v="2025-07-18T00:00:00"/>
    <s v="PK006"/>
    <x v="6"/>
    <s v="Kemasan"/>
    <x v="17"/>
    <n v="50"/>
    <n v="0"/>
    <n v="240"/>
    <n v="290"/>
    <s v="Pcs"/>
    <s v="Restock Kemasan"/>
  </r>
  <r>
    <d v="2025-07-19T00:00:00"/>
    <s v="AD004"/>
    <x v="14"/>
    <s v="Bahan Tambahan"/>
    <x v="27"/>
    <n v="150"/>
    <n v="0"/>
    <n v="430"/>
    <n v="580"/>
    <s v="Kg"/>
    <s v="Restock Bahan Tambahan"/>
  </r>
  <r>
    <d v="2025-07-19T00:00:00"/>
    <s v="RM002"/>
    <x v="9"/>
    <s v="Bahan Baku"/>
    <x v="11"/>
    <n v="350"/>
    <n v="0"/>
    <n v="2150"/>
    <n v="2500"/>
    <s v="Kg"/>
    <s v="Restock Bahan Baku"/>
  </r>
  <r>
    <d v="2025-07-20T00:00:00"/>
    <s v="AD001"/>
    <x v="11"/>
    <s v="Bahan Tambahan"/>
    <x v="26"/>
    <n v="100"/>
    <n v="0"/>
    <n v="280"/>
    <n v="380"/>
    <s v="Kg"/>
    <s v="Restock Bahan Tambahan"/>
  </r>
  <r>
    <d v="2025-07-20T00:00:00"/>
    <s v="AD005"/>
    <x v="7"/>
    <s v="Bahan Tambahan"/>
    <x v="22"/>
    <n v="50"/>
    <n v="0"/>
    <n v="510"/>
    <n v="560"/>
    <s v="Kg"/>
    <s v="Restock Bahan Tambahan"/>
  </r>
  <r>
    <d v="2025-07-20T00:00:00"/>
    <s v="FG001"/>
    <x v="15"/>
    <s v="Produk"/>
    <x v="24"/>
    <n v="600"/>
    <n v="0"/>
    <n v="1600"/>
    <n v="2200"/>
    <s v="Pcs"/>
    <s v="Hasil Produksi"/>
  </r>
  <r>
    <d v="2025-07-20T00:00:00"/>
    <s v="PK004"/>
    <x v="8"/>
    <s v="Kemasan"/>
    <x v="25"/>
    <n v="800"/>
    <n v="0"/>
    <n v="9950"/>
    <n v="10750"/>
    <s v="Pcs"/>
    <s v="Restock Kemasan"/>
  </r>
  <r>
    <d v="2025-07-20T00:00:00"/>
    <s v="RM004"/>
    <x v="19"/>
    <s v="Bahan Baku"/>
    <x v="28"/>
    <n v="350"/>
    <n v="0"/>
    <n v="1950"/>
    <n v="2300"/>
    <s v="Kg"/>
    <s v="Restock Bahan Baku"/>
  </r>
  <r>
    <d v="2025-07-21T00:00:00"/>
    <s v="AD002"/>
    <x v="12"/>
    <s v="Bahan Tambahan"/>
    <x v="29"/>
    <n v="120"/>
    <n v="0"/>
    <n v="625"/>
    <n v="745"/>
    <s v="Kg"/>
    <s v="Restock Bahan Tambahan"/>
  </r>
  <r>
    <d v="2025-07-21T00:00:00"/>
    <s v="RM003"/>
    <x v="17"/>
    <s v="Bahan Baku"/>
    <x v="0"/>
    <n v="0"/>
    <n v="270"/>
    <n v="1710"/>
    <n v="1440"/>
    <s v="Kg"/>
    <s v="Digunakan Produksi"/>
  </r>
  <r>
    <d v="2025-07-23T00:00:00"/>
    <s v="PK005"/>
    <x v="18"/>
    <s v="Kemasan"/>
    <x v="30"/>
    <n v="0"/>
    <n v="300"/>
    <n v="2150"/>
    <n v="1850"/>
    <s v="Pcs"/>
    <s v="Digunakan Packaging"/>
  </r>
  <r>
    <d v="2025-07-23T00:00:00"/>
    <s v="RM005"/>
    <x v="5"/>
    <s v="Bahan Baku"/>
    <x v="5"/>
    <n v="0"/>
    <n v="200"/>
    <n v="1920"/>
    <n v="1720"/>
    <s v="Kg"/>
    <s v="Digunakan Produksi"/>
  </r>
  <r>
    <d v="2025-07-24T00:00:00"/>
    <s v="RM001"/>
    <x v="10"/>
    <s v="Bahan Baku"/>
    <x v="0"/>
    <n v="0"/>
    <n v="500"/>
    <n v="3150"/>
    <n v="2650"/>
    <s v="Kg"/>
    <s v="Digunakan Produksi"/>
  </r>
  <r>
    <d v="2025-07-25T00:00:00"/>
    <s v="AD003"/>
    <x v="13"/>
    <s v="Bahan Tambahan"/>
    <x v="1"/>
    <n v="0"/>
    <n v="150"/>
    <n v="940"/>
    <n v="790"/>
    <s v="Kg"/>
    <s v="Digunakan Produksi"/>
  </r>
  <r>
    <d v="2025-07-26T00:00:00"/>
    <s v="FG002"/>
    <x v="16"/>
    <s v="Produk"/>
    <x v="1"/>
    <n v="0"/>
    <n v="600"/>
    <n v="2500"/>
    <n v="1900"/>
    <s v="Pcs"/>
    <s v="Distribusi ke Customer"/>
  </r>
  <r>
    <d v="2025-07-26T00:00:00"/>
    <s v="FG004"/>
    <x v="1"/>
    <s v="Produk"/>
    <x v="1"/>
    <n v="400"/>
    <n v="0"/>
    <n v="1550"/>
    <n v="1950"/>
    <s v="Pcs"/>
    <s v="Hasil Produksi"/>
  </r>
  <r>
    <d v="2025-07-27T00:00:00"/>
    <s v="AD004"/>
    <x v="14"/>
    <s v="Bahan Tambahan"/>
    <x v="9"/>
    <n v="0"/>
    <n v="160"/>
    <n v="580"/>
    <n v="420"/>
    <s v="Kg"/>
    <s v="Digunakan Produksi"/>
  </r>
  <r>
    <d v="2025-07-27T00:00:00"/>
    <s v="PK006"/>
    <x v="6"/>
    <s v="Kemasan"/>
    <x v="32"/>
    <n v="0"/>
    <n v="40"/>
    <n v="290"/>
    <n v="250"/>
    <s v="Pcs"/>
    <s v="Digunakan Packaging"/>
  </r>
  <r>
    <d v="2025-07-28T00:00:00"/>
    <s v="AD005"/>
    <x v="7"/>
    <s v="Bahan Tambahan"/>
    <x v="31"/>
    <n v="0"/>
    <n v="40"/>
    <n v="560"/>
    <n v="520"/>
    <s v="Kg"/>
    <s v="Digunakan Produksi"/>
  </r>
  <r>
    <d v="2025-07-28T00:00:00"/>
    <s v="FG001"/>
    <x v="15"/>
    <s v="Produk"/>
    <x v="15"/>
    <n v="0"/>
    <n v="500"/>
    <n v="2200"/>
    <n v="1700"/>
    <s v="Pcs"/>
    <s v="Distribusi ke Customer"/>
  </r>
  <r>
    <d v="2025-07-28T00:00:00"/>
    <s v="FG004"/>
    <x v="1"/>
    <s v="Produk"/>
    <x v="5"/>
    <n v="0"/>
    <n v="300"/>
    <n v="1950"/>
    <n v="1650"/>
    <s v="Pcs"/>
    <s v="Distribusi ke Customer"/>
  </r>
  <r>
    <d v="2025-07-28T00:00:00"/>
    <s v="RM002"/>
    <x v="9"/>
    <s v="Bahan Baku"/>
    <x v="0"/>
    <n v="0"/>
    <n v="300"/>
    <n v="2500"/>
    <n v="2200"/>
    <s v="Kg"/>
    <s v="Digunakan Produksi"/>
  </r>
  <r>
    <d v="2025-07-29T00:00:00"/>
    <s v="AD001"/>
    <x v="11"/>
    <s v="Bahan Tambahan"/>
    <x v="13"/>
    <n v="0"/>
    <n v="90"/>
    <n v="380"/>
    <n v="290"/>
    <s v="Kg"/>
    <s v="Digunakan Produksi"/>
  </r>
  <r>
    <d v="2025-07-29T00:00:00"/>
    <s v="PK003"/>
    <x v="20"/>
    <s v="Kemasan"/>
    <x v="3"/>
    <n v="0"/>
    <n v="500"/>
    <n v="8500"/>
    <n v="8000"/>
    <s v="Pcs"/>
    <s v="Digunakan Packaging"/>
  </r>
  <r>
    <d v="2025-07-29T00:00:00"/>
    <s v="PK004"/>
    <x v="8"/>
    <s v="Kemasan"/>
    <x v="10"/>
    <n v="0"/>
    <n v="600"/>
    <n v="10750"/>
    <n v="10150"/>
    <s v="Pcs"/>
    <s v="Digunakan Packaging"/>
  </r>
  <r>
    <d v="2025-07-29T00:00:00"/>
    <s v="RM004"/>
    <x v="19"/>
    <s v="Bahan Baku"/>
    <x v="0"/>
    <n v="0"/>
    <n v="250"/>
    <n v="2300"/>
    <n v="2050"/>
    <s v="Kg"/>
    <s v="Digunakan Produksi"/>
  </r>
  <r>
    <d v="2025-07-30T00:00:00"/>
    <s v="RM003"/>
    <x v="17"/>
    <s v="Bahan Baku"/>
    <x v="5"/>
    <n v="340"/>
    <n v="0"/>
    <n v="1440"/>
    <n v="1780"/>
    <s v="Kg"/>
    <s v="Restock Bahan Baku"/>
  </r>
  <r>
    <d v="2025-07-31T00:00:00"/>
    <s v="AD002"/>
    <x v="12"/>
    <s v="Bahan Tambahan"/>
    <x v="14"/>
    <n v="0"/>
    <n v="85"/>
    <n v="745"/>
    <n v="660"/>
    <s v="Kg"/>
    <s v="Digunakan Produksi"/>
  </r>
  <r>
    <d v="2025-08-01T00:00:00"/>
    <s v="PK005"/>
    <x v="18"/>
    <s v="Kemasan"/>
    <x v="34"/>
    <n v="600"/>
    <n v="0"/>
    <n v="1850"/>
    <n v="2450"/>
    <s v="Pcs"/>
    <s v="Restock Kemasan"/>
  </r>
  <r>
    <d v="2025-08-01T00:00:00"/>
    <s v="RM001"/>
    <x v="10"/>
    <s v="Bahan Baku"/>
    <x v="11"/>
    <n v="550"/>
    <n v="0"/>
    <n v="2650"/>
    <n v="3200"/>
    <s v="Kg"/>
    <s v="Restock Bahan Baku"/>
  </r>
  <r>
    <d v="2025-08-01T00:00:00"/>
    <s v="RM002"/>
    <x v="9"/>
    <s v="Bahan Baku"/>
    <x v="5"/>
    <n v="500"/>
    <n v="0"/>
    <n v="2200"/>
    <n v="2700"/>
    <s v="Kg"/>
    <s v="Restock Bahan Baku"/>
  </r>
  <r>
    <d v="2025-08-01T00:00:00"/>
    <s v="RM005"/>
    <x v="5"/>
    <s v="Bahan Baku"/>
    <x v="11"/>
    <n v="290"/>
    <n v="0"/>
    <n v="1720"/>
    <n v="2010"/>
    <s v="Kg"/>
    <s v="Restock Bahan Baku"/>
  </r>
  <r>
    <d v="2025-08-02T00:00:00"/>
    <s v="AD005"/>
    <x v="7"/>
    <s v="Bahan Tambahan"/>
    <x v="9"/>
    <n v="60"/>
    <n v="0"/>
    <n v="520"/>
    <n v="580"/>
    <s v="Kg"/>
    <s v="Restock Bahan Tambahan"/>
  </r>
  <r>
    <d v="2025-08-03T00:00:00"/>
    <s v="AD002"/>
    <x v="12"/>
    <s v="Bahan Tambahan"/>
    <x v="23"/>
    <n v="130"/>
    <n v="0"/>
    <n v="660"/>
    <n v="790"/>
    <s v="Kg"/>
    <s v="Restock Bahan Tambahan"/>
  </r>
  <r>
    <d v="2025-08-03T00:00:00"/>
    <s v="FG001"/>
    <x v="15"/>
    <s v="Produk"/>
    <x v="20"/>
    <n v="700"/>
    <n v="0"/>
    <n v="1700"/>
    <n v="2400"/>
    <s v="Pcs"/>
    <s v="Hasil Produksi"/>
  </r>
  <r>
    <d v="2025-08-03T00:00:00"/>
    <s v="FG002"/>
    <x v="16"/>
    <s v="Produk"/>
    <x v="0"/>
    <n v="900"/>
    <n v="0"/>
    <n v="1900"/>
    <n v="2800"/>
    <s v="Pcs"/>
    <s v="Hasil Produksi"/>
  </r>
  <r>
    <d v="2025-08-03T00:00:00"/>
    <s v="PK006"/>
    <x v="6"/>
    <s v="Kemasan"/>
    <x v="8"/>
    <n v="60"/>
    <n v="0"/>
    <n v="250"/>
    <n v="310"/>
    <s v="Pcs"/>
    <s v="Restock Kemasan"/>
  </r>
  <r>
    <d v="2025-08-03T00:00:00"/>
    <s v="RM004"/>
    <x v="19"/>
    <s v="Bahan Baku"/>
    <x v="11"/>
    <n v="450"/>
    <n v="0"/>
    <n v="2050"/>
    <n v="2500"/>
    <s v="Kg"/>
    <s v="Restock Bahan Baku"/>
  </r>
  <r>
    <d v="2025-08-04T00:00:00"/>
    <s v="AD003"/>
    <x v="13"/>
    <s v="Bahan Tambahan"/>
    <x v="0"/>
    <n v="180"/>
    <n v="0"/>
    <n v="790"/>
    <n v="970"/>
    <s v="Kg"/>
    <s v="Restock Bahan Tambahan"/>
  </r>
  <r>
    <d v="2025-08-04T00:00:00"/>
    <s v="AD004"/>
    <x v="14"/>
    <s v="Bahan Tambahan"/>
    <x v="19"/>
    <n v="170"/>
    <n v="0"/>
    <n v="420"/>
    <n v="590"/>
    <s v="Kg"/>
    <s v="Restock Bahan Tambahan"/>
  </r>
  <r>
    <d v="2025-08-04T00:00:00"/>
    <s v="PK003"/>
    <x v="20"/>
    <s v="Kemasan"/>
    <x v="33"/>
    <n v="900"/>
    <n v="0"/>
    <n v="8000"/>
    <n v="8900"/>
    <s v="Pcs"/>
    <s v="Restock Kemasan"/>
  </r>
  <r>
    <d v="2025-08-05T00:00:00"/>
    <s v="AD001"/>
    <x v="11"/>
    <s v="Bahan Tambahan"/>
    <x v="18"/>
    <n v="115"/>
    <n v="0"/>
    <n v="290"/>
    <n v="405"/>
    <s v="Kg"/>
    <s v="Restock Bahan Tambahan"/>
  </r>
  <r>
    <d v="2025-08-05T00:00:00"/>
    <s v="PK004"/>
    <x v="8"/>
    <s v="Kemasan"/>
    <x v="21"/>
    <n v="1200"/>
    <n v="0"/>
    <n v="10150"/>
    <n v="11350"/>
    <s v="Pcs"/>
    <s v="Restock Kemasan"/>
  </r>
  <r>
    <d v="2025-08-05T00:00:00"/>
    <s v="RM003"/>
    <x v="17"/>
    <s v="Bahan Baku"/>
    <x v="0"/>
    <n v="0"/>
    <n v="310"/>
    <n v="1780"/>
    <n v="1470"/>
    <s v="Kg"/>
    <s v="Digunakan Produksi"/>
  </r>
  <r>
    <d v="2025-08-07T00:00:00"/>
    <s v="FG003"/>
    <x v="0"/>
    <s v="Produk"/>
    <x v="5"/>
    <n v="650"/>
    <n v="0"/>
    <n v="2750"/>
    <n v="3400"/>
    <s v="Pcs"/>
    <s v="Hasil Produksi"/>
  </r>
  <r>
    <d v="2025-08-07T00:00:00"/>
    <s v="RM002"/>
    <x v="9"/>
    <s v="Bahan Baku"/>
    <x v="11"/>
    <n v="0"/>
    <n v="400"/>
    <n v="2700"/>
    <n v="2300"/>
    <s v="Kg"/>
    <s v="Digunakan Produksi"/>
  </r>
  <r>
    <d v="2025-08-08T00:00:00"/>
    <s v="FG005"/>
    <x v="2"/>
    <s v="Produk"/>
    <x v="2"/>
    <n v="600"/>
    <n v="0"/>
    <n v="2550"/>
    <n v="3150"/>
    <s v="Pcs"/>
    <s v="Hasil Produksi"/>
  </r>
  <r>
    <d v="2025-08-08T00:00:00"/>
    <s v="RM001"/>
    <x v="10"/>
    <s v="Bahan Baku"/>
    <x v="5"/>
    <n v="0"/>
    <n v="450"/>
    <n v="3200"/>
    <n v="2750"/>
    <s v="Kg"/>
    <s v="Digunakan Produksi"/>
  </r>
  <r>
    <d v="2025-08-08T00:00:00"/>
    <s v="RM005"/>
    <x v="5"/>
    <s v="Bahan Baku"/>
    <x v="11"/>
    <n v="0"/>
    <n v="210"/>
    <n v="2010"/>
    <n v="1800"/>
    <s v="Kg"/>
    <s v="Digunakan Produksi"/>
  </r>
  <r>
    <d v="2025-08-09T00:00:00"/>
    <s v="FG003"/>
    <x v="0"/>
    <s v="Produk"/>
    <x v="1"/>
    <n v="0"/>
    <n v="600"/>
    <n v="3400"/>
    <n v="2800"/>
    <s v="Pcs"/>
    <s v="Distribusi ke Customer"/>
  </r>
  <r>
    <d v="2025-08-09T00:00:00"/>
    <s v="PK005"/>
    <x v="18"/>
    <s v="Kemasan"/>
    <x v="34"/>
    <n v="0"/>
    <n v="450"/>
    <n v="2450"/>
    <n v="2000"/>
    <s v="Pcs"/>
    <s v="Digunakan Packaging"/>
  </r>
  <r>
    <d v="2025-08-10T00:00:00"/>
    <s v="FG005"/>
    <x v="2"/>
    <s v="Produk"/>
    <x v="6"/>
    <n v="0"/>
    <n v="500"/>
    <n v="3150"/>
    <n v="2650"/>
    <s v="Pcs"/>
    <s v="Distribusi ke Customer"/>
  </r>
  <r>
    <d v="2025-08-10T00:00:00"/>
    <s v="PK006"/>
    <x v="6"/>
    <s v="Kemasan"/>
    <x v="32"/>
    <n v="0"/>
    <n v="50"/>
    <n v="310"/>
    <n v="260"/>
    <s v="Pcs"/>
    <s v="Digunakan Packaging"/>
  </r>
  <r>
    <d v="2025-08-10T00:00:00"/>
    <s v="RM004"/>
    <x v="19"/>
    <s v="Bahan Baku"/>
    <x v="28"/>
    <n v="0"/>
    <n v="350"/>
    <n v="2500"/>
    <n v="2150"/>
    <s v="Kg"/>
    <s v="Digunakan Produksi"/>
  </r>
  <r>
    <d v="2025-08-11T00:00:00"/>
    <s v="AD002"/>
    <x v="12"/>
    <s v="Bahan Tambahan"/>
    <x v="29"/>
    <n v="0"/>
    <n v="95"/>
    <n v="790"/>
    <n v="695"/>
    <s v="Kg"/>
    <s v="Digunakan Produksi"/>
  </r>
  <r>
    <d v="2025-08-11T00:00:00"/>
    <s v="AD005"/>
    <x v="7"/>
    <s v="Bahan Tambahan"/>
    <x v="22"/>
    <n v="0"/>
    <n v="30"/>
    <n v="580"/>
    <n v="550"/>
    <s v="Kg"/>
    <s v="Digunakan Produksi"/>
  </r>
  <r>
    <d v="2025-08-11T00:00:00"/>
    <s v="FG001"/>
    <x v="15"/>
    <s v="Produk"/>
    <x v="24"/>
    <n v="0"/>
    <n v="600"/>
    <n v="2400"/>
    <n v="1800"/>
    <s v="Pcs"/>
    <s v="Distribusi ke Customer"/>
  </r>
  <r>
    <d v="2025-08-12T00:00:00"/>
    <s v="AD003"/>
    <x v="13"/>
    <s v="Bahan Tambahan"/>
    <x v="5"/>
    <n v="0"/>
    <n v="200"/>
    <n v="970"/>
    <n v="770"/>
    <s v="Kg"/>
    <s v="Digunakan Produksi"/>
  </r>
  <r>
    <d v="2025-08-12T00:00:00"/>
    <s v="AD004"/>
    <x v="14"/>
    <s v="Bahan Tambahan"/>
    <x v="27"/>
    <n v="0"/>
    <n v="150"/>
    <n v="590"/>
    <n v="440"/>
    <s v="Kg"/>
    <s v="Digunakan Produksi"/>
  </r>
  <r>
    <d v="2025-08-12T00:00:00"/>
    <s v="FG002"/>
    <x v="16"/>
    <s v="Produk"/>
    <x v="5"/>
    <n v="0"/>
    <n v="700"/>
    <n v="2800"/>
    <n v="2100"/>
    <s v="Pcs"/>
    <s v="Distribusi ke Customer"/>
  </r>
  <r>
    <d v="2025-08-12T00:00:00"/>
    <s v="FG005"/>
    <x v="2"/>
    <s v="Produk"/>
    <x v="5"/>
    <n v="550"/>
    <n v="0"/>
    <n v="2650"/>
    <n v="3200"/>
    <s v="Pcs"/>
    <s v="Hasil Produksi"/>
  </r>
  <r>
    <d v="2025-08-12T00:00:00"/>
    <s v="PK004"/>
    <x v="8"/>
    <s v="Kemasan"/>
    <x v="25"/>
    <n v="0"/>
    <n v="500"/>
    <n v="11350"/>
    <n v="10850"/>
    <s v="Pcs"/>
    <s v="Digunakan Packaging"/>
  </r>
  <r>
    <d v="2025-08-12T00:00:00"/>
    <s v="RM001"/>
    <x v="10"/>
    <s v="Bahan Baku"/>
    <x v="0"/>
    <n v="500"/>
    <n v="0"/>
    <n v="2750"/>
    <n v="3250"/>
    <s v="Kg"/>
    <s v="Restock Bahan Baku"/>
  </r>
  <r>
    <d v="2025-08-13T00:00:00"/>
    <s v="AD001"/>
    <x v="11"/>
    <s v="Bahan Tambahan"/>
    <x v="26"/>
    <n v="0"/>
    <n v="120"/>
    <n v="405"/>
    <n v="285"/>
    <s v="Kg"/>
    <s v="Digunakan Produksi"/>
  </r>
  <r>
    <d v="2025-08-13T00:00:00"/>
    <s v="RM003"/>
    <x v="17"/>
    <s v="Bahan Baku"/>
    <x v="11"/>
    <n v="280"/>
    <n v="0"/>
    <n v="1470"/>
    <n v="1750"/>
    <s v="Kg"/>
    <s v="Restock Bahan Baku"/>
  </r>
  <r>
    <d v="2025-08-14T00:00:00"/>
    <s v="PK002"/>
    <x v="4"/>
    <s v="Kemasan"/>
    <x v="4"/>
    <n v="0"/>
    <n v="500"/>
    <n v="10800"/>
    <n v="10300"/>
    <s v="Pcs"/>
    <s v="Digunakan Packaging"/>
  </r>
  <r>
    <d v="2025-08-14T00:00:00"/>
    <s v="RM002"/>
    <x v="9"/>
    <s v="Bahan Baku"/>
    <x v="0"/>
    <n v="350"/>
    <n v="0"/>
    <n v="2300"/>
    <n v="2650"/>
    <s v="Kg"/>
    <s v="Restock Bahan Baku"/>
  </r>
  <r>
    <d v="2025-08-15T00:00:00"/>
    <s v="PK002"/>
    <x v="4"/>
    <s v="Kemasan"/>
    <x v="7"/>
    <n v="900"/>
    <n v="0"/>
    <n v="10300"/>
    <n v="11200"/>
    <s v="Pcs"/>
    <s v="Restock Kemasan"/>
  </r>
  <r>
    <d v="2025-08-15T00:00:00"/>
    <s v="PK005"/>
    <x v="18"/>
    <s v="Kemasan"/>
    <x v="30"/>
    <n v="400"/>
    <n v="0"/>
    <n v="2000"/>
    <n v="2400"/>
    <s v="Pcs"/>
    <s v="Restock Kemasan"/>
  </r>
  <r>
    <d v="2025-08-15T00:00:00"/>
    <s v="RM005"/>
    <x v="5"/>
    <s v="Bahan Baku"/>
    <x v="0"/>
    <n v="250"/>
    <n v="0"/>
    <n v="1800"/>
    <n v="2050"/>
    <s v="Kg"/>
    <s v="Restock Bahan Baku"/>
  </r>
  <r>
    <d v="2025-08-17T00:00:00"/>
    <s v="PK001"/>
    <x v="3"/>
    <s v="Kemasan"/>
    <x v="3"/>
    <n v="0"/>
    <n v="250"/>
    <n v="3450"/>
    <n v="3200"/>
    <s v="Pcs"/>
    <s v="Digunakan Packaging"/>
  </r>
  <r>
    <d v="2025-08-17T00:00:00"/>
    <s v="PK006"/>
    <x v="6"/>
    <s v="Kemasan"/>
    <x v="17"/>
    <n v="40"/>
    <n v="0"/>
    <n v="260"/>
    <n v="300"/>
    <s v="Pcs"/>
    <s v="Restock Kemasan"/>
  </r>
  <r>
    <d v="2025-08-18T00:00:00"/>
    <s v="FG001"/>
    <x v="15"/>
    <s v="Produk"/>
    <x v="15"/>
    <n v="500"/>
    <n v="0"/>
    <n v="1800"/>
    <n v="2300"/>
    <s v="Pcs"/>
    <s v="Hasil Produksi"/>
  </r>
  <r>
    <d v="2025-08-18T00:00:00"/>
    <s v="PK002"/>
    <x v="4"/>
    <s v="Kemasan"/>
    <x v="12"/>
    <n v="0"/>
    <n v="400"/>
    <n v="11200"/>
    <n v="10800"/>
    <s v="Pcs"/>
    <s v="Digunakan Packaging"/>
  </r>
  <r>
    <d v="2025-08-18T00:00:00"/>
    <s v="RM001"/>
    <x v="10"/>
    <s v="Bahan Baku"/>
    <x v="11"/>
    <n v="0"/>
    <n v="400"/>
    <n v="3250"/>
    <n v="2850"/>
    <s v="Kg"/>
    <s v="Digunakan Produksi"/>
  </r>
  <r>
    <d v="2025-08-19T00:00:00"/>
    <s v="AD002"/>
    <x v="12"/>
    <s v="Bahan Tambahan"/>
    <x v="14"/>
    <n v="110"/>
    <n v="0"/>
    <n v="695"/>
    <n v="805"/>
    <s v="Kg"/>
    <s v="Restock Bahan Tambahan"/>
  </r>
  <r>
    <d v="2025-08-19T00:00:00"/>
    <s v="AD005"/>
    <x v="7"/>
    <s v="Bahan Tambahan"/>
    <x v="31"/>
    <n v="55"/>
    <n v="0"/>
    <n v="550"/>
    <n v="605"/>
    <s v="Kg"/>
    <s v="Restock Bahan Tambahan"/>
  </r>
  <r>
    <d v="2025-08-19T00:00:00"/>
    <s v="PK001"/>
    <x v="3"/>
    <s v="Kemasan"/>
    <x v="3"/>
    <n v="350"/>
    <n v="0"/>
    <n v="3200"/>
    <n v="3550"/>
    <s v="Pcs"/>
    <s v="Restock Kemasan"/>
  </r>
  <r>
    <d v="2025-08-19T00:00:00"/>
    <s v="PK004"/>
    <x v="8"/>
    <s v="Kemasan"/>
    <x v="10"/>
    <n v="700"/>
    <n v="0"/>
    <n v="10850"/>
    <n v="11550"/>
    <s v="Pcs"/>
    <s v="Restock Kemasan"/>
  </r>
  <r>
    <d v="2025-08-19T00:00:00"/>
    <s v="RM004"/>
    <x v="19"/>
    <s v="Bahan Baku"/>
    <x v="0"/>
    <n v="300"/>
    <n v="0"/>
    <n v="2150"/>
    <n v="2450"/>
    <s v="Kg"/>
    <s v="Restock Bahan Baku"/>
  </r>
  <r>
    <d v="2025-08-20T00:00:00"/>
    <s v="AD003"/>
    <x v="13"/>
    <s v="Bahan Tambahan"/>
    <x v="1"/>
    <n v="220"/>
    <n v="0"/>
    <n v="770"/>
    <n v="990"/>
    <s v="Kg"/>
    <s v="Restock Bahan Tambahan"/>
  </r>
  <r>
    <d v="2025-08-20T00:00:00"/>
    <s v="AD004"/>
    <x v="14"/>
    <s v="Bahan Tambahan"/>
    <x v="9"/>
    <n v="140"/>
    <n v="0"/>
    <n v="440"/>
    <n v="580"/>
    <s v="Kg"/>
    <s v="Restock Bahan Tambahan"/>
  </r>
  <r>
    <d v="2025-08-20T00:00:00"/>
    <s v="FG002"/>
    <x v="16"/>
    <s v="Produk"/>
    <x v="1"/>
    <n v="800"/>
    <n v="0"/>
    <n v="2100"/>
    <n v="2900"/>
    <s v="Pcs"/>
    <s v="Hasil Produksi"/>
  </r>
  <r>
    <d v="2025-08-20T00:00:00"/>
    <s v="PK001"/>
    <x v="3"/>
    <s v="Kemasan"/>
    <x v="4"/>
    <n v="0"/>
    <n v="200"/>
    <n v="3550"/>
    <n v="3350"/>
    <s v="Pcs"/>
    <s v="Digunakan Packaging"/>
  </r>
  <r>
    <d v="2025-08-20T00:00:00"/>
    <s v="RM003"/>
    <x v="17"/>
    <s v="Bahan Baku"/>
    <x v="0"/>
    <n v="0"/>
    <n v="260"/>
    <n v="1750"/>
    <n v="1490"/>
    <s v="Kg"/>
    <s v="Digunakan Produksi"/>
  </r>
  <r>
    <d v="2025-08-21T00:00:00"/>
    <s v="AD001"/>
    <x v="11"/>
    <s v="Bahan Tambahan"/>
    <x v="13"/>
    <n v="90"/>
    <n v="0"/>
    <n v="285"/>
    <n v="375"/>
    <s v="Kg"/>
    <s v="Restock Bahan Tambahan"/>
  </r>
  <r>
    <d v="2025-08-22T00:00:00"/>
    <s v="PK005"/>
    <x v="18"/>
    <s v="Kemasan"/>
    <x v="30"/>
    <n v="0"/>
    <n v="400"/>
    <n v="2400"/>
    <n v="2000"/>
    <s v="Pcs"/>
    <s v="Digunakan Packaging"/>
  </r>
  <r>
    <d v="2025-08-22T00:00:00"/>
    <s v="RM005"/>
    <x v="5"/>
    <s v="Bahan Baku"/>
    <x v="0"/>
    <n v="0"/>
    <n v="190"/>
    <n v="2050"/>
    <n v="1860"/>
    <s v="Kg"/>
    <s v="Digunakan Produksi"/>
  </r>
  <r>
    <d v="2025-08-23T00:00:00"/>
    <s v="RM002"/>
    <x v="9"/>
    <s v="Bahan Baku"/>
    <x v="5"/>
    <n v="0"/>
    <n v="300"/>
    <n v="2650"/>
    <n v="2350"/>
    <s v="Kg"/>
    <s v="Digunakan Produksi"/>
  </r>
  <r>
    <d v="2025-08-25T00:00:00"/>
    <s v="PK006"/>
    <x v="6"/>
    <s v="Kemasan"/>
    <x v="8"/>
    <n v="0"/>
    <n v="30"/>
    <n v="300"/>
    <n v="270"/>
    <s v="Pcs"/>
    <s v="Digunakan Packaging"/>
  </r>
  <r>
    <d v="2025-08-25T00:00:00"/>
    <s v="RM004"/>
    <x v="19"/>
    <s v="Bahan Baku"/>
    <x v="11"/>
    <n v="0"/>
    <n v="250"/>
    <n v="2450"/>
    <n v="2200"/>
    <s v="Kg"/>
    <s v="Digunakan Produksi"/>
  </r>
  <r>
    <d v="2025-08-26T00:00:00"/>
    <s v="FG001"/>
    <x v="15"/>
    <s v="Produk"/>
    <x v="20"/>
    <n v="0"/>
    <n v="700"/>
    <n v="2300"/>
    <n v="1600"/>
    <s v="Pcs"/>
    <s v="Distribusi ke Customer"/>
  </r>
  <r>
    <d v="2025-08-26T00:00:00"/>
    <s v="RM003"/>
    <x v="17"/>
    <s v="Bahan Baku"/>
    <x v="11"/>
    <n v="300"/>
    <n v="0"/>
    <n v="1490"/>
    <n v="1790"/>
    <s v="Kg"/>
    <s v="Restock Bahan Baku"/>
  </r>
  <r>
    <d v="2025-08-27T00:00:00"/>
    <s v="AD002"/>
    <x v="12"/>
    <s v="Bahan Tambahan"/>
    <x v="23"/>
    <n v="0"/>
    <n v="90"/>
    <n v="805"/>
    <n v="715"/>
    <s v="Kg"/>
    <s v="Digunakan Produksi"/>
  </r>
  <r>
    <d v="2025-08-27T00:00:00"/>
    <s v="AD005"/>
    <x v="7"/>
    <s v="Bahan Tambahan"/>
    <x v="9"/>
    <n v="0"/>
    <n v="35"/>
    <n v="605"/>
    <n v="570"/>
    <s v="Kg"/>
    <s v="Digunakan Produksi"/>
  </r>
  <r>
    <d v="2025-08-28T00:00:00"/>
    <s v="AD003"/>
    <x v="13"/>
    <s v="Bahan Tambahan"/>
    <x v="0"/>
    <n v="0"/>
    <n v="160"/>
    <n v="990"/>
    <n v="830"/>
    <s v="Kg"/>
    <s v="Digunakan Produksi"/>
  </r>
  <r>
    <d v="2025-08-28T00:00:00"/>
    <s v="AD004"/>
    <x v="14"/>
    <s v="Bahan Tambahan"/>
    <x v="19"/>
    <n v="0"/>
    <n v="170"/>
    <n v="580"/>
    <n v="410"/>
    <s v="Kg"/>
    <s v="Digunakan Produksi"/>
  </r>
  <r>
    <d v="2025-08-28T00:00:00"/>
    <s v="FG002"/>
    <x v="16"/>
    <s v="Produk"/>
    <x v="0"/>
    <n v="0"/>
    <n v="800"/>
    <n v="2900"/>
    <n v="2100"/>
    <s v="Pcs"/>
    <s v="Distribusi ke Customer"/>
  </r>
  <r>
    <d v="2025-08-30T00:00:00"/>
    <s v="AD001"/>
    <x v="11"/>
    <s v="Bahan Tambahan"/>
    <x v="18"/>
    <n v="0"/>
    <n v="95"/>
    <n v="375"/>
    <n v="280"/>
    <s v="Kg"/>
    <s v="Digunakan Produksi"/>
  </r>
  <r>
    <d v="2025-08-30T00:00:00"/>
    <s v="FG004"/>
    <x v="1"/>
    <s v="Produk"/>
    <x v="0"/>
    <n v="500"/>
    <n v="0"/>
    <n v="1650"/>
    <n v="2150"/>
    <s v="Pcs"/>
    <s v="Hasil Produksi"/>
  </r>
  <r>
    <d v="2025-08-30T00:00:00"/>
    <s v="PK004"/>
    <x v="8"/>
    <s v="Kemasan"/>
    <x v="21"/>
    <n v="0"/>
    <n v="400"/>
    <n v="11550"/>
    <n v="11150"/>
    <s v="Pcs"/>
    <s v="Digunakan Packaging"/>
  </r>
  <r>
    <d v="2025-08-30T00:00:00"/>
    <s v="RM001"/>
    <x v="10"/>
    <s v="Bahan Baku"/>
    <x v="5"/>
    <n v="600"/>
    <n v="0"/>
    <n v="2850"/>
    <n v="3450"/>
    <s v="Kg"/>
    <s v="Restock Bahan Baku"/>
  </r>
  <r>
    <d v="2025-09-01T00:00:00"/>
    <s v="FG004"/>
    <x v="1"/>
    <s v="Produk"/>
    <x v="1"/>
    <n v="0"/>
    <n v="450"/>
    <n v="2150"/>
    <n v="1700"/>
    <s v="Pcs"/>
    <s v="Distribusi ke Customer"/>
  </r>
  <r>
    <d v="2025-09-01T00:00:00"/>
    <s v="RM004"/>
    <x v="19"/>
    <s v="Bahan Baku"/>
    <x v="28"/>
    <n v="400"/>
    <n v="0"/>
    <n v="2200"/>
    <n v="2600"/>
    <s v="Kg"/>
    <s v="Restock Bahan Baku"/>
  </r>
  <r>
    <d v="2025-09-02T00:00:00"/>
    <s v="PK004"/>
    <x v="8"/>
    <s v="Kemasan"/>
    <x v="25"/>
    <n v="900"/>
    <n v="0"/>
    <n v="11150"/>
    <n v="12050"/>
    <s v="Pcs"/>
    <s v="Restock Kemasan"/>
  </r>
  <r>
    <d v="2025-09-02T00:00:00"/>
    <s v="PK006"/>
    <x v="6"/>
    <s v="Kemasan"/>
    <x v="32"/>
    <n v="70"/>
    <n v="0"/>
    <n v="270"/>
    <n v="340"/>
    <s v="Pcs"/>
    <s v="Restock Kemasan"/>
  </r>
  <r>
    <d v="2025-09-02T00:00:00"/>
    <s v="RM002"/>
    <x v="9"/>
    <s v="Bahan Baku"/>
    <x v="11"/>
    <n v="400"/>
    <n v="0"/>
    <n v="2350"/>
    <n v="2750"/>
    <s v="Kg"/>
    <s v="Restock Bahan Baku"/>
  </r>
  <r>
    <d v="2025-09-02T00:00:00"/>
    <s v="RM003"/>
    <x v="17"/>
    <s v="Bahan Baku"/>
    <x v="5"/>
    <n v="0"/>
    <n v="320"/>
    <n v="1790"/>
    <n v="1470"/>
    <s v="Kg"/>
    <s v="Digunakan Produksi"/>
  </r>
  <r>
    <d v="2025-09-03T00:00:00"/>
    <s v="PK005"/>
    <x v="18"/>
    <s v="Kemasan"/>
    <x v="16"/>
    <n v="500"/>
    <n v="0"/>
    <n v="2000"/>
    <n v="2500"/>
    <s v="Pcs"/>
    <s v="Restock Kemasan"/>
  </r>
  <r>
    <d v="2025-09-04T00:00:00"/>
    <s v="AD002"/>
    <x v="12"/>
    <s v="Bahan Tambahan"/>
    <x v="29"/>
    <n v="120"/>
    <n v="0"/>
    <n v="715"/>
    <n v="835"/>
    <s v="Kg"/>
    <s v="Restock Bahan Tambahan"/>
  </r>
  <r>
    <d v="2025-09-04T00:00:00"/>
    <s v="AD005"/>
    <x v="7"/>
    <s v="Bahan Tambahan"/>
    <x v="22"/>
    <n v="50"/>
    <n v="0"/>
    <n v="570"/>
    <n v="620"/>
    <s v="Kg"/>
    <s v="Restock Bahan Tambahan"/>
  </r>
  <r>
    <d v="2025-09-04T00:00:00"/>
    <s v="FG001"/>
    <x v="15"/>
    <s v="Produk"/>
    <x v="24"/>
    <n v="600"/>
    <n v="0"/>
    <n v="1600"/>
    <n v="2200"/>
    <s v="Pcs"/>
    <s v="Hasil Produksi"/>
  </r>
  <r>
    <d v="2025-09-04T00:00:00"/>
    <s v="RM001"/>
    <x v="10"/>
    <s v="Bahan Baku"/>
    <x v="0"/>
    <n v="0"/>
    <n v="500"/>
    <n v="3450"/>
    <n v="2950"/>
    <s v="Kg"/>
    <s v="Digunakan Produksi"/>
  </r>
  <r>
    <d v="2025-09-05T00:00:00"/>
    <s v="AD003"/>
    <x v="13"/>
    <s v="Bahan Tambahan"/>
    <x v="5"/>
    <n v="200"/>
    <n v="0"/>
    <n v="830"/>
    <n v="1030"/>
    <s v="Kg"/>
    <s v="Restock Bahan Tambahan"/>
  </r>
  <r>
    <d v="2025-09-05T00:00:00"/>
    <s v="RM005"/>
    <x v="5"/>
    <s v="Bahan Baku"/>
    <x v="5"/>
    <n v="270"/>
    <n v="0"/>
    <n v="1860"/>
    <n v="2130"/>
    <s v="Kg"/>
    <s v="Restock Bahan Baku"/>
  </r>
  <r>
    <d v="2025-09-06T00:00:00"/>
    <s v="AD001"/>
    <x v="11"/>
    <s v="Bahan Tambahan"/>
    <x v="26"/>
    <n v="130"/>
    <n v="0"/>
    <n v="280"/>
    <n v="410"/>
    <s v="Kg"/>
    <s v="Restock Bahan Tambahan"/>
  </r>
  <r>
    <d v="2025-09-06T00:00:00"/>
    <s v="AD004"/>
    <x v="14"/>
    <s v="Bahan Tambahan"/>
    <x v="27"/>
    <n v="160"/>
    <n v="0"/>
    <n v="410"/>
    <n v="570"/>
    <s v="Kg"/>
    <s v="Restock Bahan Tambahan"/>
  </r>
  <r>
    <d v="2025-09-06T00:00:00"/>
    <s v="FG002"/>
    <x v="16"/>
    <s v="Produk"/>
    <x v="5"/>
    <n v="900"/>
    <n v="0"/>
    <n v="2100"/>
    <n v="3000"/>
    <s v="Pcs"/>
    <s v="Hasil Produksi"/>
  </r>
  <r>
    <d v="2025-09-07T00:00:00"/>
    <s v="PK004"/>
    <x v="8"/>
    <s v="Kemasan"/>
    <x v="10"/>
    <n v="0"/>
    <n v="600"/>
    <n v="12050"/>
    <n v="11450"/>
    <s v="Pcs"/>
    <s v="Digunakan Packaging"/>
  </r>
  <r>
    <d v="2025-09-07T00:00:00"/>
    <s v="RM004"/>
    <x v="19"/>
    <s v="Bahan Baku"/>
    <x v="0"/>
    <n v="0"/>
    <n v="300"/>
    <n v="2600"/>
    <n v="2300"/>
    <s v="Kg"/>
    <s v="Digunakan Produksi"/>
  </r>
  <r>
    <d v="2025-09-09T00:00:00"/>
    <s v="PK006"/>
    <x v="6"/>
    <s v="Kemasan"/>
    <x v="8"/>
    <n v="0"/>
    <n v="60"/>
    <n v="340"/>
    <n v="280"/>
    <s v="Pcs"/>
    <s v="Digunakan Packaging"/>
  </r>
  <r>
    <d v="2025-09-10T00:00:00"/>
    <s v="FG001"/>
    <x v="15"/>
    <s v="Produk"/>
    <x v="15"/>
    <n v="0"/>
    <n v="500"/>
    <n v="2200"/>
    <n v="1700"/>
    <s v="Pcs"/>
    <s v="Distribusi ke Customer"/>
  </r>
  <r>
    <d v="2025-09-10T00:00:00"/>
    <s v="RM002"/>
    <x v="9"/>
    <s v="Bahan Baku"/>
    <x v="0"/>
    <n v="0"/>
    <n v="350"/>
    <n v="2750"/>
    <n v="2400"/>
    <s v="Kg"/>
    <s v="Digunakan Produksi"/>
  </r>
  <r>
    <d v="2025-09-11T00:00:00"/>
    <s v="PK005"/>
    <x v="18"/>
    <s v="Kemasan"/>
    <x v="16"/>
    <n v="0"/>
    <n v="400"/>
    <n v="2500"/>
    <n v="2100"/>
    <s v="Pcs"/>
    <s v="Digunakan Packaging"/>
  </r>
  <r>
    <d v="2025-09-11T00:00:00"/>
    <s v="RM003"/>
    <x v="17"/>
    <s v="Bahan Baku"/>
    <x v="0"/>
    <n v="260"/>
    <n v="0"/>
    <n v="1470"/>
    <n v="1730"/>
    <s v="Kg"/>
    <s v="Restock Bahan Baku"/>
  </r>
  <r>
    <d v="2025-09-12T00:00:00"/>
    <s v="AD002"/>
    <x v="12"/>
    <s v="Bahan Tambahan"/>
    <x v="14"/>
    <n v="0"/>
    <n v="100"/>
    <n v="835"/>
    <n v="735"/>
    <s v="Kg"/>
    <s v="Digunakan Produksi"/>
  </r>
  <r>
    <d v="2025-09-12T00:00:00"/>
    <s v="AD005"/>
    <x v="7"/>
    <s v="Bahan Tambahan"/>
    <x v="31"/>
    <n v="0"/>
    <n v="25"/>
    <n v="620"/>
    <n v="595"/>
    <s v="Kg"/>
    <s v="Digunakan Produksi"/>
  </r>
  <r>
    <d v="2025-09-12T00:00:00"/>
    <s v="RM005"/>
    <x v="5"/>
    <s v="Bahan Baku"/>
    <x v="5"/>
    <n v="0"/>
    <n v="220"/>
    <n v="2130"/>
    <n v="1910"/>
    <s v="Kg"/>
    <s v="Digunakan Produksi"/>
  </r>
  <r>
    <d v="2025-09-13T00:00:00"/>
    <s v="FG005"/>
    <x v="2"/>
    <s v="Produk"/>
    <x v="2"/>
    <n v="0"/>
    <n v="450"/>
    <n v="3200"/>
    <n v="2750"/>
    <s v="Pcs"/>
    <s v="Distribusi ke Customer"/>
  </r>
  <r>
    <d v="2025-09-14T00:00:00"/>
    <s v="AD001"/>
    <x v="11"/>
    <s v="Bahan Tambahan"/>
    <x v="13"/>
    <n v="0"/>
    <n v="100"/>
    <n v="410"/>
    <n v="310"/>
    <s v="Kg"/>
    <s v="Digunakan Produksi"/>
  </r>
  <r>
    <d v="2025-09-14T00:00:00"/>
    <s v="AD003"/>
    <x v="13"/>
    <s v="Bahan Tambahan"/>
    <x v="1"/>
    <n v="0"/>
    <n v="220"/>
    <n v="1030"/>
    <n v="810"/>
    <s v="Kg"/>
    <s v="Digunakan Produksi"/>
  </r>
  <r>
    <d v="2025-09-14T00:00:00"/>
    <s v="AD004"/>
    <x v="14"/>
    <s v="Bahan Tambahan"/>
    <x v="9"/>
    <n v="0"/>
    <n v="150"/>
    <n v="570"/>
    <n v="420"/>
    <s v="Kg"/>
    <s v="Digunakan Produksi"/>
  </r>
  <r>
    <d v="2025-09-14T00:00:00"/>
    <s v="RM001"/>
    <x v="10"/>
    <s v="Bahan Baku"/>
    <x v="11"/>
    <n v="550"/>
    <n v="0"/>
    <n v="2950"/>
    <n v="3500"/>
    <s v="Kg"/>
    <s v="Restock Bahan Baku"/>
  </r>
  <r>
    <d v="2025-09-15T00:00:00"/>
    <s v="FG002"/>
    <x v="16"/>
    <s v="Produk"/>
    <x v="1"/>
    <n v="0"/>
    <n v="700"/>
    <n v="3000"/>
    <n v="2300"/>
    <s v="Pcs"/>
    <s v="Distribusi ke Customer"/>
  </r>
  <r>
    <d v="2025-09-15T00:00:00"/>
    <s v="FG005"/>
    <x v="2"/>
    <s v="Produk"/>
    <x v="6"/>
    <n v="600"/>
    <n v="0"/>
    <n v="2750"/>
    <n v="3350"/>
    <s v="Pcs"/>
    <s v="Hasil Produksi"/>
  </r>
  <r>
    <d v="2025-09-15T00:00:00"/>
    <s v="PK004"/>
    <x v="8"/>
    <s v="Kemasan"/>
    <x v="21"/>
    <n v="800"/>
    <n v="0"/>
    <n v="11450"/>
    <n v="12250"/>
    <s v="Pcs"/>
    <s v="Restock Kemasan"/>
  </r>
  <r>
    <d v="2025-09-16T00:00:00"/>
    <s v="FG005"/>
    <x v="2"/>
    <s v="Produk"/>
    <x v="5"/>
    <n v="0"/>
    <n v="500"/>
    <n v="3350"/>
    <n v="2850"/>
    <s v="Pcs"/>
    <s v="Distribusi ke Customer"/>
  </r>
  <r>
    <d v="2025-09-16T00:00:00"/>
    <s v="PK006"/>
    <x v="6"/>
    <s v="Kemasan"/>
    <x v="17"/>
    <n v="50"/>
    <n v="0"/>
    <n v="280"/>
    <n v="330"/>
    <s v="Pcs"/>
    <s v="Restock Kemasan"/>
  </r>
  <r>
    <d v="2025-09-16T00:00:00"/>
    <s v="RM004"/>
    <x v="19"/>
    <s v="Bahan Baku"/>
    <x v="11"/>
    <n v="350"/>
    <n v="0"/>
    <n v="2300"/>
    <n v="2650"/>
    <s v="Kg"/>
    <s v="Restock Bahan Baku"/>
  </r>
  <r>
    <d v="2025-09-17T00:00:00"/>
    <s v="FG001"/>
    <x v="15"/>
    <s v="Produk"/>
    <x v="20"/>
    <n v="700"/>
    <n v="0"/>
    <n v="1700"/>
    <n v="2400"/>
    <s v="Pcs"/>
    <s v="Hasil Produksi"/>
  </r>
  <r>
    <d v="2025-09-18T00:00:00"/>
    <s v="FG005"/>
    <x v="2"/>
    <s v="Produk"/>
    <x v="2"/>
    <n v="550"/>
    <n v="0"/>
    <n v="2850"/>
    <n v="3400"/>
    <s v="Pcs"/>
    <s v="Hasil Produksi"/>
  </r>
  <r>
    <d v="2025-09-18T00:00:00"/>
    <s v="RM002"/>
    <x v="9"/>
    <s v="Bahan Baku"/>
    <x v="5"/>
    <n v="300"/>
    <n v="0"/>
    <n v="2400"/>
    <n v="2700"/>
    <s v="Kg"/>
    <s v="Restock Bahan Baku"/>
  </r>
  <r>
    <d v="2025-09-19T00:00:00"/>
    <s v="PK005"/>
    <x v="18"/>
    <s v="Kemasan"/>
    <x v="30"/>
    <n v="300"/>
    <n v="0"/>
    <n v="2100"/>
    <n v="2400"/>
    <s v="Pcs"/>
    <s v="Restock Kemasan"/>
  </r>
  <r>
    <d v="2025-09-20T00:00:00"/>
    <s v="AD002"/>
    <x v="12"/>
    <s v="Bahan Tambahan"/>
    <x v="23"/>
    <n v="130"/>
    <n v="0"/>
    <n v="735"/>
    <n v="865"/>
    <s v="Kg"/>
    <s v="Restock Bahan Tambahan"/>
  </r>
  <r>
    <d v="2025-09-20T00:00:00"/>
    <s v="PK002"/>
    <x v="4"/>
    <s v="Kemasan"/>
    <x v="4"/>
    <n v="1000"/>
    <n v="0"/>
    <n v="10800"/>
    <n v="11800"/>
    <s v="Pcs"/>
    <s v="Restock Kemasan"/>
  </r>
  <r>
    <d v="2025-09-20T00:00:00"/>
    <s v="RM005"/>
    <x v="5"/>
    <s v="Bahan Baku"/>
    <x v="11"/>
    <n v="300"/>
    <n v="0"/>
    <n v="1910"/>
    <n v="2210"/>
    <s v="Kg"/>
    <s v="Restock Bahan Baku"/>
  </r>
  <r>
    <d v="2025-09-21T00:00:00"/>
    <s v="AD005"/>
    <x v="7"/>
    <s v="Bahan Tambahan"/>
    <x v="9"/>
    <n v="45"/>
    <n v="0"/>
    <n v="595"/>
    <n v="640"/>
    <s v="Kg"/>
    <s v="Restock Bahan Tambahan"/>
  </r>
  <r>
    <d v="2025-09-21T00:00:00"/>
    <s v="PK003"/>
    <x v="20"/>
    <s v="Kemasan"/>
    <x v="4"/>
    <n v="0"/>
    <n v="600"/>
    <n v="8900"/>
    <n v="8300"/>
    <s v="Pcs"/>
    <s v="Digunakan Packaging"/>
  </r>
  <r>
    <d v="2025-09-21T00:00:00"/>
    <s v="RM001"/>
    <x v="10"/>
    <s v="Bahan Baku"/>
    <x v="5"/>
    <n v="0"/>
    <n v="450"/>
    <n v="3500"/>
    <n v="3050"/>
    <s v="Kg"/>
    <s v="Digunakan Produksi"/>
  </r>
  <r>
    <d v="2025-09-22T00:00:00"/>
    <s v="AD001"/>
    <x v="11"/>
    <s v="Bahan Tambahan"/>
    <x v="18"/>
    <n v="85"/>
    <n v="0"/>
    <n v="310"/>
    <n v="395"/>
    <s v="Kg"/>
    <s v="Restock Bahan Tambahan"/>
  </r>
  <r>
    <d v="2025-09-22T00:00:00"/>
    <s v="AD003"/>
    <x v="13"/>
    <s v="Bahan Tambahan"/>
    <x v="0"/>
    <n v="190"/>
    <n v="0"/>
    <n v="810"/>
    <n v="1000"/>
    <s v="Kg"/>
    <s v="Restock Bahan Tambahan"/>
  </r>
  <r>
    <d v="2025-09-22T00:00:00"/>
    <s v="AD004"/>
    <x v="14"/>
    <s v="Bahan Tambahan"/>
    <x v="19"/>
    <n v="150"/>
    <n v="0"/>
    <n v="420"/>
    <n v="570"/>
    <s v="Kg"/>
    <s v="Restock Bahan Tambahan"/>
  </r>
  <r>
    <d v="2025-09-22T00:00:00"/>
    <s v="PK001"/>
    <x v="3"/>
    <s v="Kemasan"/>
    <x v="10"/>
    <n v="400"/>
    <n v="0"/>
    <n v="3350"/>
    <n v="3750"/>
    <s v="Pcs"/>
    <s v="Restock Kemasan"/>
  </r>
  <r>
    <d v="2025-09-22T00:00:00"/>
    <s v="RM003"/>
    <x v="17"/>
    <s v="Bahan Baku"/>
    <x v="0"/>
    <n v="0"/>
    <n v="240"/>
    <n v="1730"/>
    <n v="1490"/>
    <s v="Kg"/>
    <s v="Digunakan Produksi"/>
  </r>
  <r>
    <d v="2025-09-23T00:00:00"/>
    <s v="FG002"/>
    <x v="16"/>
    <s v="Produk"/>
    <x v="0"/>
    <n v="800"/>
    <n v="0"/>
    <n v="2300"/>
    <n v="3100"/>
    <s v="Pcs"/>
    <s v="Hasil Produksi"/>
  </r>
  <r>
    <d v="2025-09-23T00:00:00"/>
    <s v="PK002"/>
    <x v="4"/>
    <s v="Kemasan"/>
    <x v="7"/>
    <n v="0"/>
    <n v="600"/>
    <n v="11800"/>
    <n v="11200"/>
    <s v="Pcs"/>
    <s v="Digunakan Packaging"/>
  </r>
  <r>
    <d v="2025-09-23T00:00:00"/>
    <s v="PK006"/>
    <x v="6"/>
    <s v="Kemasan"/>
    <x v="32"/>
    <n v="0"/>
    <n v="40"/>
    <n v="330"/>
    <n v="290"/>
    <s v="Pcs"/>
    <s v="Digunakan Packaging"/>
  </r>
  <r>
    <d v="2025-09-24T00:00:00"/>
    <s v="PK001"/>
    <x v="3"/>
    <s v="Kemasan"/>
    <x v="3"/>
    <n v="0"/>
    <n v="150"/>
    <n v="3750"/>
    <n v="3600"/>
    <s v="Pcs"/>
    <s v="Digunakan Packaging"/>
  </r>
  <r>
    <d v="2025-09-24T00:00:00"/>
    <s v="PK004"/>
    <x v="8"/>
    <s v="Kemasan"/>
    <x v="25"/>
    <n v="0"/>
    <n v="500"/>
    <n v="12250"/>
    <n v="11750"/>
    <s v="Pcs"/>
    <s v="Digunakan Packaging"/>
  </r>
  <r>
    <d v="2025-09-24T00:00:00"/>
    <s v="RM004"/>
    <x v="19"/>
    <s v="Bahan Baku"/>
    <x v="28"/>
    <n v="0"/>
    <n v="250"/>
    <n v="2650"/>
    <n v="2400"/>
    <s v="Kg"/>
    <s v="Digunakan Produksi"/>
  </r>
  <r>
    <d v="2025-09-25T00:00:00"/>
    <s v="FG001"/>
    <x v="15"/>
    <s v="Produk"/>
    <x v="24"/>
    <n v="0"/>
    <n v="600"/>
    <n v="2400"/>
    <n v="1800"/>
    <s v="Pcs"/>
    <s v="Distribusi ke Customer"/>
  </r>
  <r>
    <d v="2025-09-26T00:00:00"/>
    <s v="PK001"/>
    <x v="3"/>
    <s v="Kemasan"/>
    <x v="3"/>
    <n v="500"/>
    <n v="0"/>
    <n v="3600"/>
    <n v="4100"/>
    <s v="Pcs"/>
    <s v="Restock Kemasan"/>
  </r>
  <r>
    <d v="2025-09-26T00:00:00"/>
    <s v="PK005"/>
    <x v="18"/>
    <s v="Kemasan"/>
    <x v="30"/>
    <n v="0"/>
    <n v="350"/>
    <n v="2400"/>
    <n v="2050"/>
    <s v="Pcs"/>
    <s v="Digunakan Packaging"/>
  </r>
  <r>
    <d v="2025-09-27T00:00:00"/>
    <s v="RM002"/>
    <x v="9"/>
    <s v="Bahan Baku"/>
    <x v="11"/>
    <n v="0"/>
    <n v="250"/>
    <n v="2700"/>
    <n v="2450"/>
    <s v="Kg"/>
    <s v="Digunakan Produksi"/>
  </r>
  <r>
    <d v="2025-09-27T00:00:00"/>
    <s v="RM005"/>
    <x v="5"/>
    <s v="Bahan Baku"/>
    <x v="11"/>
    <n v="0"/>
    <n v="200"/>
    <n v="2210"/>
    <n v="2010"/>
    <s v="Kg"/>
    <s v="Digunakan Produksi"/>
  </r>
  <r>
    <d v="2025-09-29T00:00:00"/>
    <s v="AD002"/>
    <x v="12"/>
    <s v="Bahan Tambahan"/>
    <x v="29"/>
    <n v="0"/>
    <n v="95"/>
    <n v="865"/>
    <n v="770"/>
    <s v="Kg"/>
    <s v="Digunakan Produksi"/>
  </r>
  <r>
    <d v="2025-09-29T00:00:00"/>
    <s v="AD003"/>
    <x v="13"/>
    <s v="Bahan Tambahan"/>
    <x v="5"/>
    <n v="0"/>
    <n v="170"/>
    <n v="1000"/>
    <n v="830"/>
    <s v="Kg"/>
    <s v="Digunakan Produksi"/>
  </r>
  <r>
    <d v="2025-09-29T00:00:00"/>
    <s v="AD005"/>
    <x v="7"/>
    <s v="Bahan Tambahan"/>
    <x v="22"/>
    <n v="0"/>
    <n v="30"/>
    <n v="640"/>
    <n v="610"/>
    <s v="Kg"/>
    <s v="Digunakan Produksi"/>
  </r>
  <r>
    <d v="2025-09-29T00:00:00"/>
    <s v="RM001"/>
    <x v="10"/>
    <s v="Bahan Baku"/>
    <x v="0"/>
    <n v="600"/>
    <n v="0"/>
    <n v="3050"/>
    <n v="3650"/>
    <s v="Kg"/>
    <s v="Restock Bahan Baku"/>
  </r>
  <r>
    <d v="2025-09-30T00:00:00"/>
    <s v="AD001"/>
    <x v="11"/>
    <s v="Bahan Tambahan"/>
    <x v="26"/>
    <n v="0"/>
    <n v="120"/>
    <n v="395"/>
    <n v="275"/>
    <s v="Kg"/>
    <s v="Digunakan Produksi"/>
  </r>
  <r>
    <d v="2025-09-30T00:00:00"/>
    <s v="AD004"/>
    <x v="14"/>
    <s v="Bahan Tambahan"/>
    <x v="27"/>
    <n v="0"/>
    <n v="160"/>
    <n v="570"/>
    <n v="410"/>
    <s v="Kg"/>
    <s v="Digunakan Produksi"/>
  </r>
  <r>
    <d v="2025-09-30T00:00:00"/>
    <s v="FG002"/>
    <x v="16"/>
    <s v="Produk"/>
    <x v="5"/>
    <n v="0"/>
    <n v="600"/>
    <n v="3100"/>
    <n v="2500"/>
    <s v="Pcs"/>
    <s v="Distribusi ke Customer"/>
  </r>
  <r>
    <d v="2025-10-02T00:00:00"/>
    <s v="FG001"/>
    <x v="15"/>
    <s v="Produk"/>
    <x v="15"/>
    <n v="800"/>
    <n v="0"/>
    <n v="1800"/>
    <n v="2600"/>
    <s v="Pcs"/>
    <s v="Hasil Produksi"/>
  </r>
  <r>
    <d v="2025-10-02T00:00:00"/>
    <s v="FG002"/>
    <x v="16"/>
    <s v="Produk"/>
    <x v="1"/>
    <n v="900"/>
    <n v="0"/>
    <n v="2500"/>
    <n v="3400"/>
    <s v="Pcs"/>
    <s v="Hasil Produksi"/>
  </r>
  <r>
    <d v="2025-10-02T00:00:00"/>
    <s v="FG004"/>
    <x v="1"/>
    <s v="Produk"/>
    <x v="5"/>
    <n v="400"/>
    <n v="0"/>
    <n v="1700"/>
    <n v="2100"/>
    <s v="Pcs"/>
    <s v="Hasil Produksi"/>
  </r>
  <r>
    <d v="2025-10-02T00:00:00"/>
    <s v="RM001"/>
    <x v="10"/>
    <s v="Bahan Baku"/>
    <x v="11"/>
    <n v="0"/>
    <n v="500"/>
    <n v="3650"/>
    <n v="3150"/>
    <s v="Kg"/>
    <s v="Digunakan Produksi"/>
  </r>
  <r>
    <d v="2025-10-03T00:00:00"/>
    <s v="AD001"/>
    <x v="11"/>
    <s v="Bahan Tambahan"/>
    <x v="13"/>
    <n v="110"/>
    <n v="0"/>
    <n v="275"/>
    <n v="385"/>
    <s v="Kg"/>
    <s v="Restock Bahan Tambahan"/>
  </r>
  <r>
    <d v="2025-10-03T00:00:00"/>
    <s v="AD005"/>
    <x v="7"/>
    <s v="Bahan Tambahan"/>
    <x v="31"/>
    <n v="60"/>
    <n v="0"/>
    <n v="610"/>
    <n v="670"/>
    <s v="Kg"/>
    <s v="Restock Bahan Tambahan"/>
  </r>
  <r>
    <d v="2025-10-03T00:00:00"/>
    <s v="RM002"/>
    <x v="9"/>
    <s v="Bahan Baku"/>
    <x v="0"/>
    <n v="450"/>
    <n v="0"/>
    <n v="2450"/>
    <n v="2900"/>
    <s v="Kg"/>
    <s v="Restock Bahan Baku"/>
  </r>
  <r>
    <d v="2025-10-04T00:00:00"/>
    <s v="AD003"/>
    <x v="13"/>
    <s v="Bahan Tambahan"/>
    <x v="1"/>
    <n v="210"/>
    <n v="0"/>
    <n v="830"/>
    <n v="1040"/>
    <s v="Kg"/>
    <s v="Restock Bahan Tambahan"/>
  </r>
  <r>
    <d v="2025-10-04T00:00:00"/>
    <s v="PK005"/>
    <x v="18"/>
    <s v="Kemasan"/>
    <x v="34"/>
    <n v="600"/>
    <n v="0"/>
    <n v="2050"/>
    <n v="2650"/>
    <s v="Pcs"/>
    <s v="Restock Kemasan"/>
  </r>
  <r>
    <d v="2025-10-04T00:00:00"/>
    <s v="RM005"/>
    <x v="5"/>
    <s v="Bahan Baku"/>
    <x v="0"/>
    <n v="310"/>
    <n v="0"/>
    <n v="2010"/>
    <n v="2320"/>
    <s v="Kg"/>
    <s v="Restock Bahan Baku"/>
  </r>
  <r>
    <d v="2025-10-05T00:00:00"/>
    <s v="AD004"/>
    <x v="14"/>
    <s v="Bahan Tambahan"/>
    <x v="9"/>
    <n v="180"/>
    <n v="0"/>
    <n v="410"/>
    <n v="590"/>
    <s v="Kg"/>
    <s v="Restock Bahan Tambahan"/>
  </r>
  <r>
    <d v="2025-10-05T00:00:00"/>
    <s v="PK006"/>
    <x v="6"/>
    <s v="Kemasan"/>
    <x v="8"/>
    <n v="60"/>
    <n v="0"/>
    <n v="290"/>
    <n v="350"/>
    <s v="Pcs"/>
    <s v="Restock Kemasan"/>
  </r>
  <r>
    <d v="2025-10-06T00:00:00"/>
    <s v="AD002"/>
    <x v="12"/>
    <s v="Bahan Tambahan"/>
    <x v="14"/>
    <n v="140"/>
    <n v="0"/>
    <n v="770"/>
    <n v="910"/>
    <s v="Kg"/>
    <s v="Restock Bahan Tambahan"/>
  </r>
  <r>
    <d v="2025-10-06T00:00:00"/>
    <s v="PK003"/>
    <x v="20"/>
    <s v="Kemasan"/>
    <x v="4"/>
    <n v="800"/>
    <n v="0"/>
    <n v="8300"/>
    <n v="9100"/>
    <s v="Pcs"/>
    <s v="Restock Kemasan"/>
  </r>
  <r>
    <d v="2025-10-06T00:00:00"/>
    <s v="PK004"/>
    <x v="8"/>
    <s v="Kemasan"/>
    <x v="10"/>
    <n v="1000"/>
    <n v="0"/>
    <n v="11750"/>
    <n v="12750"/>
    <s v="Pcs"/>
    <s v="Restock Kemasan"/>
  </r>
  <r>
    <d v="2025-10-06T00:00:00"/>
    <s v="RM004"/>
    <x v="19"/>
    <s v="Bahan Baku"/>
    <x v="0"/>
    <n v="450"/>
    <n v="0"/>
    <n v="2400"/>
    <n v="2850"/>
    <s v="Kg"/>
    <s v="Restock Bahan Baku"/>
  </r>
  <r>
    <d v="2025-10-07T00:00:00"/>
    <s v="RM003"/>
    <x v="17"/>
    <s v="Bahan Baku"/>
    <x v="5"/>
    <n v="320"/>
    <n v="0"/>
    <n v="1490"/>
    <n v="1810"/>
    <s v="Kg"/>
    <s v="Restock Bahan Baku"/>
  </r>
  <r>
    <d v="2025-10-09T00:00:00"/>
    <s v="FG001"/>
    <x v="15"/>
    <s v="Produk"/>
    <x v="20"/>
    <n v="0"/>
    <n v="700"/>
    <n v="2600"/>
    <n v="1900"/>
    <s v="Pcs"/>
    <s v="Distribusi ke Customer"/>
  </r>
  <r>
    <d v="2025-10-10T00:00:00"/>
    <s v="AD005"/>
    <x v="7"/>
    <s v="Bahan Tambahan"/>
    <x v="9"/>
    <n v="0"/>
    <n v="35"/>
    <n v="670"/>
    <n v="635"/>
    <s v="Kg"/>
    <s v="Digunakan Produksi"/>
  </r>
  <r>
    <d v="2025-10-10T00:00:00"/>
    <s v="RM001"/>
    <x v="10"/>
    <s v="Bahan Baku"/>
    <x v="5"/>
    <n v="500"/>
    <n v="0"/>
    <n v="3150"/>
    <n v="3650"/>
    <s v="Kg"/>
    <s v="Restock Bahan Baku"/>
  </r>
  <r>
    <d v="2025-10-11T00:00:00"/>
    <s v="AD001"/>
    <x v="11"/>
    <s v="Bahan Tambahan"/>
    <x v="18"/>
    <n v="0"/>
    <n v="90"/>
    <n v="385"/>
    <n v="295"/>
    <s v="Kg"/>
    <s v="Digunakan Produksi"/>
  </r>
  <r>
    <d v="2025-10-11T00:00:00"/>
    <s v="FG002"/>
    <x v="16"/>
    <s v="Produk"/>
    <x v="0"/>
    <n v="0"/>
    <n v="800"/>
    <n v="3400"/>
    <n v="2600"/>
    <s v="Pcs"/>
    <s v="Distribusi ke Customer"/>
  </r>
  <r>
    <d v="2025-10-11T00:00:00"/>
    <s v="RM002"/>
    <x v="9"/>
    <s v="Bahan Baku"/>
    <x v="5"/>
    <n v="0"/>
    <n v="350"/>
    <n v="2900"/>
    <n v="2550"/>
    <s v="Kg"/>
    <s v="Digunakan Produksi"/>
  </r>
  <r>
    <d v="2025-10-11T00:00:00"/>
    <s v="RM005"/>
    <x v="5"/>
    <s v="Bahan Baku"/>
    <x v="0"/>
    <n v="0"/>
    <n v="230"/>
    <n v="2320"/>
    <n v="2090"/>
    <s v="Kg"/>
    <s v="Digunakan Produksi"/>
  </r>
  <r>
    <d v="2025-10-12T00:00:00"/>
    <s v="AD003"/>
    <x v="13"/>
    <s v="Bahan Tambahan"/>
    <x v="0"/>
    <n v="0"/>
    <n v="200"/>
    <n v="1040"/>
    <n v="840"/>
    <s v="Kg"/>
    <s v="Digunakan Produksi"/>
  </r>
  <r>
    <d v="2025-10-12T00:00:00"/>
    <s v="PK006"/>
    <x v="6"/>
    <s v="Kemasan"/>
    <x v="32"/>
    <n v="0"/>
    <n v="50"/>
    <n v="350"/>
    <n v="300"/>
    <s v="Pcs"/>
    <s v="Digunakan Packaging"/>
  </r>
  <r>
    <d v="2025-10-13T00:00:00"/>
    <s v="AD004"/>
    <x v="14"/>
    <s v="Bahan Tambahan"/>
    <x v="19"/>
    <n v="0"/>
    <n v="170"/>
    <n v="590"/>
    <n v="420"/>
    <s v="Kg"/>
    <s v="Digunakan Produksi"/>
  </r>
  <r>
    <d v="2025-10-13T00:00:00"/>
    <s v="PK005"/>
    <x v="18"/>
    <s v="Kemasan"/>
    <x v="34"/>
    <n v="0"/>
    <n v="500"/>
    <n v="2650"/>
    <n v="2150"/>
    <s v="Pcs"/>
    <s v="Digunakan Packaging"/>
  </r>
  <r>
    <d v="2025-10-13T00:00:00"/>
    <s v="RM004"/>
    <x v="19"/>
    <s v="Bahan Baku"/>
    <x v="11"/>
    <n v="0"/>
    <n v="350"/>
    <n v="2850"/>
    <n v="2500"/>
    <s v="Kg"/>
    <s v="Digunakan Produksi"/>
  </r>
  <r>
    <d v="2025-10-14T00:00:00"/>
    <s v="AD002"/>
    <x v="12"/>
    <s v="Bahan Tambahan"/>
    <x v="23"/>
    <n v="0"/>
    <n v="110"/>
    <n v="910"/>
    <n v="800"/>
    <s v="Kg"/>
    <s v="Digunakan Produksi"/>
  </r>
  <r>
    <d v="2025-10-14T00:00:00"/>
    <s v="PK004"/>
    <x v="8"/>
    <s v="Kemasan"/>
    <x v="21"/>
    <n v="0"/>
    <n v="500"/>
    <n v="12750"/>
    <n v="12250"/>
    <s v="Pcs"/>
    <s v="Digunakan Packaging"/>
  </r>
  <r>
    <d v="2025-10-15T00:00:00"/>
    <s v="RM003"/>
    <x v="17"/>
    <s v="Bahan Baku"/>
    <x v="11"/>
    <n v="0"/>
    <n v="300"/>
    <n v="1810"/>
    <n v="1510"/>
    <s v="Kg"/>
    <s v="Digunakan Produksi"/>
  </r>
  <r>
    <d v="2025-10-16T00:00:00"/>
    <s v="FG001"/>
    <x v="15"/>
    <s v="Produk"/>
    <x v="24"/>
    <n v="600"/>
    <n v="0"/>
    <n v="1900"/>
    <n v="2500"/>
    <s v="Pcs"/>
    <s v="Hasil Produksi"/>
  </r>
  <r>
    <d v="2025-10-17T00:00:00"/>
    <s v="RM001"/>
    <x v="10"/>
    <s v="Bahan Baku"/>
    <x v="0"/>
    <n v="0"/>
    <n v="450"/>
    <n v="3650"/>
    <n v="3200"/>
    <s v="Kg"/>
    <s v="Digunakan Produksi"/>
  </r>
  <r>
    <d v="2025-10-18T00:00:00"/>
    <s v="AD005"/>
    <x v="7"/>
    <s v="Bahan Tambahan"/>
    <x v="22"/>
    <n v="55"/>
    <n v="0"/>
    <n v="635"/>
    <n v="690"/>
    <s v="Kg"/>
    <s v="Restock Bahan Tambahan"/>
  </r>
  <r>
    <d v="2025-10-19T00:00:00"/>
    <s v="AD001"/>
    <x v="11"/>
    <s v="Bahan Tambahan"/>
    <x v="26"/>
    <n v="95"/>
    <n v="0"/>
    <n v="295"/>
    <n v="390"/>
    <s v="Kg"/>
    <s v="Restock Bahan Tambahan"/>
  </r>
  <r>
    <d v="2025-10-19T00:00:00"/>
    <s v="FG002"/>
    <x v="16"/>
    <s v="Produk"/>
    <x v="5"/>
    <n v="1000"/>
    <n v="0"/>
    <n v="2600"/>
    <n v="3600"/>
    <s v="Pcs"/>
    <s v="Hasil Produksi"/>
  </r>
  <r>
    <d v="2025-10-19T00:00:00"/>
    <s v="FG005"/>
    <x v="2"/>
    <s v="Produk"/>
    <x v="6"/>
    <n v="0"/>
    <n v="450"/>
    <n v="3400"/>
    <n v="2950"/>
    <s v="Pcs"/>
    <s v="Distribusi ke Customer"/>
  </r>
  <r>
    <d v="2025-10-19T00:00:00"/>
    <s v="PK006"/>
    <x v="6"/>
    <s v="Kemasan"/>
    <x v="17"/>
    <n v="40"/>
    <n v="0"/>
    <n v="300"/>
    <n v="340"/>
    <s v="Pcs"/>
    <s v="Restock Kemasan"/>
  </r>
  <r>
    <d v="2025-10-19T00:00:00"/>
    <s v="RM005"/>
    <x v="5"/>
    <s v="Bahan Baku"/>
    <x v="5"/>
    <n v="260"/>
    <n v="0"/>
    <n v="2090"/>
    <n v="2350"/>
    <s v="Kg"/>
    <s v="Restock Bahan Baku"/>
  </r>
  <r>
    <d v="2025-10-20T00:00:00"/>
    <s v="RM002"/>
    <x v="9"/>
    <s v="Bahan Baku"/>
    <x v="11"/>
    <n v="350"/>
    <n v="0"/>
    <n v="2550"/>
    <n v="2900"/>
    <s v="Kg"/>
    <s v="Restock Bahan Baku"/>
  </r>
  <r>
    <d v="2025-10-21T00:00:00"/>
    <s v="AD003"/>
    <x v="13"/>
    <s v="Bahan Tambahan"/>
    <x v="5"/>
    <n v="180"/>
    <n v="0"/>
    <n v="840"/>
    <n v="1020"/>
    <s v="Kg"/>
    <s v="Restock Bahan Tambahan"/>
  </r>
  <r>
    <d v="2025-10-21T00:00:00"/>
    <s v="AD004"/>
    <x v="14"/>
    <s v="Bahan Tambahan"/>
    <x v="27"/>
    <n v="150"/>
    <n v="0"/>
    <n v="420"/>
    <n v="570"/>
    <s v="Kg"/>
    <s v="Restock Bahan Tambahan"/>
  </r>
  <r>
    <d v="2025-10-21T00:00:00"/>
    <s v="FG005"/>
    <x v="2"/>
    <s v="Produk"/>
    <x v="5"/>
    <n v="600"/>
    <n v="0"/>
    <n v="2950"/>
    <n v="3550"/>
    <s v="Pcs"/>
    <s v="Hasil Produksi"/>
  </r>
  <r>
    <d v="2025-10-21T00:00:00"/>
    <s v="PK005"/>
    <x v="18"/>
    <s v="Kemasan"/>
    <x v="30"/>
    <n v="400"/>
    <n v="0"/>
    <n v="2150"/>
    <n v="2550"/>
    <s v="Pcs"/>
    <s v="Restock Kemasan"/>
  </r>
  <r>
    <d v="2025-10-22T00:00:00"/>
    <s v="AD002"/>
    <x v="12"/>
    <s v="Bahan Tambahan"/>
    <x v="29"/>
    <n v="120"/>
    <n v="0"/>
    <n v="800"/>
    <n v="920"/>
    <s v="Kg"/>
    <s v="Restock Bahan Tambahan"/>
  </r>
  <r>
    <d v="2025-10-22T00:00:00"/>
    <s v="PK004"/>
    <x v="8"/>
    <s v="Kemasan"/>
    <x v="25"/>
    <n v="900"/>
    <n v="0"/>
    <n v="12250"/>
    <n v="13150"/>
    <s v="Pcs"/>
    <s v="Restock Kemasan"/>
  </r>
  <r>
    <d v="2025-10-22T00:00:00"/>
    <s v="RM004"/>
    <x v="19"/>
    <s v="Bahan Baku"/>
    <x v="28"/>
    <n v="300"/>
    <n v="0"/>
    <n v="2500"/>
    <n v="2800"/>
    <s v="Kg"/>
    <s v="Restock Bahan Baku"/>
  </r>
  <r>
    <d v="2025-10-23T00:00:00"/>
    <s v="FG005"/>
    <x v="2"/>
    <s v="Produk"/>
    <x v="2"/>
    <n v="0"/>
    <n v="500"/>
    <n v="3550"/>
    <n v="3050"/>
    <s v="Pcs"/>
    <s v="Distribusi ke Customer"/>
  </r>
  <r>
    <d v="2025-10-24T00:00:00"/>
    <s v="FG001"/>
    <x v="15"/>
    <s v="Produk"/>
    <x v="15"/>
    <n v="0"/>
    <n v="500"/>
    <n v="2500"/>
    <n v="2000"/>
    <s v="Pcs"/>
    <s v="Distribusi ke Customer"/>
  </r>
  <r>
    <d v="2025-10-24T00:00:00"/>
    <s v="PK002"/>
    <x v="4"/>
    <s v="Kemasan"/>
    <x v="12"/>
    <n v="1100"/>
    <n v="0"/>
    <n v="11200"/>
    <n v="12300"/>
    <s v="Pcs"/>
    <s v="Restock Kemasan"/>
  </r>
  <r>
    <d v="2025-10-24T00:00:00"/>
    <s v="RM003"/>
    <x v="17"/>
    <s v="Bahan Baku"/>
    <x v="0"/>
    <n v="270"/>
    <n v="0"/>
    <n v="1510"/>
    <n v="1780"/>
    <s v="Kg"/>
    <s v="Restock Bahan Baku"/>
  </r>
  <r>
    <d v="2025-10-26T00:00:00"/>
    <s v="AD005"/>
    <x v="7"/>
    <s v="Bahan Tambahan"/>
    <x v="31"/>
    <n v="0"/>
    <n v="40"/>
    <n v="690"/>
    <n v="650"/>
    <s v="Kg"/>
    <s v="Digunakan Produksi"/>
  </r>
  <r>
    <d v="2025-10-26T00:00:00"/>
    <s v="PK002"/>
    <x v="4"/>
    <s v="Kemasan"/>
    <x v="4"/>
    <n v="0"/>
    <n v="500"/>
    <n v="12300"/>
    <n v="11800"/>
    <s v="Pcs"/>
    <s v="Digunakan Packaging"/>
  </r>
  <r>
    <d v="2025-10-26T00:00:00"/>
    <s v="RM001"/>
    <x v="10"/>
    <s v="Bahan Baku"/>
    <x v="11"/>
    <n v="600"/>
    <n v="0"/>
    <n v="3200"/>
    <n v="3800"/>
    <s v="Kg"/>
    <s v="Restock Bahan Baku"/>
  </r>
  <r>
    <d v="2025-10-26T00:00:00"/>
    <s v="RM005"/>
    <x v="5"/>
    <s v="Bahan Baku"/>
    <x v="5"/>
    <n v="0"/>
    <n v="210"/>
    <n v="2350"/>
    <n v="2140"/>
    <s v="Kg"/>
    <s v="Digunakan Produksi"/>
  </r>
  <r>
    <d v="2025-10-27T00:00:00"/>
    <s v="FG002"/>
    <x v="16"/>
    <s v="Produk"/>
    <x v="1"/>
    <n v="0"/>
    <n v="900"/>
    <n v="3600"/>
    <n v="2700"/>
    <s v="Pcs"/>
    <s v="Distribusi ke Customer"/>
  </r>
  <r>
    <d v="2025-10-27T00:00:00"/>
    <s v="PK006"/>
    <x v="6"/>
    <s v="Kemasan"/>
    <x v="8"/>
    <n v="0"/>
    <n v="30"/>
    <n v="340"/>
    <n v="310"/>
    <s v="Pcs"/>
    <s v="Digunakan Packaging"/>
  </r>
  <r>
    <d v="2025-10-28T00:00:00"/>
    <s v="AD001"/>
    <x v="11"/>
    <s v="Bahan Tambahan"/>
    <x v="13"/>
    <n v="0"/>
    <n v="110"/>
    <n v="390"/>
    <n v="280"/>
    <s v="Kg"/>
    <s v="Digunakan Produksi"/>
  </r>
  <r>
    <d v="2025-10-28T00:00:00"/>
    <s v="PK001"/>
    <x v="3"/>
    <s v="Kemasan"/>
    <x v="4"/>
    <n v="0"/>
    <n v="250"/>
    <n v="4100"/>
    <n v="3850"/>
    <s v="Pcs"/>
    <s v="Digunakan Packaging"/>
  </r>
  <r>
    <d v="2025-10-28T00:00:00"/>
    <s v="PK002"/>
    <x v="4"/>
    <s v="Kemasan"/>
    <x v="7"/>
    <n v="900"/>
    <n v="0"/>
    <n v="11800"/>
    <n v="12700"/>
    <s v="Pcs"/>
    <s v="Restock Kemasan"/>
  </r>
  <r>
    <d v="2025-10-28T00:00:00"/>
    <s v="PK005"/>
    <x v="18"/>
    <s v="Kemasan"/>
    <x v="30"/>
    <n v="0"/>
    <n v="400"/>
    <n v="2550"/>
    <n v="2150"/>
    <s v="Pcs"/>
    <s v="Digunakan Packaging"/>
  </r>
  <r>
    <d v="2025-10-28T00:00:00"/>
    <s v="RM004"/>
    <x v="19"/>
    <s v="Bahan Baku"/>
    <x v="0"/>
    <n v="0"/>
    <n v="250"/>
    <n v="2800"/>
    <n v="2550"/>
    <s v="Kg"/>
    <s v="Digunakan Produksi"/>
  </r>
  <r>
    <d v="2025-10-29T00:00:00"/>
    <s v="AD003"/>
    <x v="13"/>
    <s v="Bahan Tambahan"/>
    <x v="1"/>
    <n v="0"/>
    <n v="160"/>
    <n v="1020"/>
    <n v="860"/>
    <s v="Kg"/>
    <s v="Digunakan Produksi"/>
  </r>
  <r>
    <d v="2025-10-29T00:00:00"/>
    <s v="AD004"/>
    <x v="14"/>
    <s v="Bahan Tambahan"/>
    <x v="9"/>
    <n v="0"/>
    <n v="160"/>
    <n v="570"/>
    <n v="410"/>
    <s v="Kg"/>
    <s v="Digunakan Produksi"/>
  </r>
  <r>
    <d v="2025-10-29T00:00:00"/>
    <s v="RM002"/>
    <x v="9"/>
    <s v="Bahan Baku"/>
    <x v="0"/>
    <n v="0"/>
    <n v="300"/>
    <n v="2900"/>
    <n v="2600"/>
    <s v="Kg"/>
    <s v="Digunakan Produksi"/>
  </r>
  <r>
    <d v="2025-10-30T00:00:00"/>
    <s v="AD002"/>
    <x v="12"/>
    <s v="Bahan Tambahan"/>
    <x v="14"/>
    <n v="0"/>
    <n v="95"/>
    <n v="920"/>
    <n v="825"/>
    <s v="Kg"/>
    <s v="Digunakan Produksi"/>
  </r>
  <r>
    <d v="2025-10-30T00:00:00"/>
    <s v="PK001"/>
    <x v="3"/>
    <s v="Kemasan"/>
    <x v="10"/>
    <n v="350"/>
    <n v="0"/>
    <n v="3850"/>
    <n v="4200"/>
    <s v="Pcs"/>
    <s v="Restock Kemasan"/>
  </r>
  <r>
    <d v="2025-10-30T00:00:00"/>
    <s v="RM003"/>
    <x v="17"/>
    <s v="Bahan Baku"/>
    <x v="0"/>
    <n v="0"/>
    <n v="260"/>
    <n v="1780"/>
    <n v="1520"/>
    <s v="Kg"/>
    <s v="Digunakan Produksi"/>
  </r>
  <r>
    <d v="2025-10-31T00:00:00"/>
    <s v="PK004"/>
    <x v="8"/>
    <s v="Kemasan"/>
    <x v="10"/>
    <n v="0"/>
    <n v="600"/>
    <n v="13150"/>
    <n v="12550"/>
    <s v="Pcs"/>
    <s v="Digunakan Packaging"/>
  </r>
  <r>
    <d v="2025-11-01T00:00:00"/>
    <s v="PK001"/>
    <x v="3"/>
    <s v="Kemasan"/>
    <x v="3"/>
    <n v="0"/>
    <n v="200"/>
    <n v="4200"/>
    <n v="4000"/>
    <s v="Pcs"/>
    <s v="Digunakan Packaging"/>
  </r>
  <r>
    <d v="2025-11-02T00:00:00"/>
    <s v="AD005"/>
    <x v="7"/>
    <s v="Bahan Tambahan"/>
    <x v="9"/>
    <n v="50"/>
    <n v="0"/>
    <n v="650"/>
    <n v="700"/>
    <s v="Kg"/>
    <s v="Restock Bahan Tambahan"/>
  </r>
  <r>
    <d v="2025-11-02T00:00:00"/>
    <s v="PK005"/>
    <x v="18"/>
    <s v="Kemasan"/>
    <x v="16"/>
    <n v="500"/>
    <n v="0"/>
    <n v="2150"/>
    <n v="2650"/>
    <s v="Pcs"/>
    <s v="Restock Kemasan"/>
  </r>
  <r>
    <d v="2025-11-02T00:00:00"/>
    <s v="RM004"/>
    <x v="19"/>
    <s v="Bahan Baku"/>
    <x v="11"/>
    <n v="400"/>
    <n v="0"/>
    <n v="2550"/>
    <n v="2950"/>
    <s v="Kg"/>
    <s v="Restock Bahan Baku"/>
  </r>
  <r>
    <d v="2025-11-03T00:00:00"/>
    <s v="AD003"/>
    <x v="13"/>
    <s v="Bahan Tambahan"/>
    <x v="0"/>
    <n v="200"/>
    <n v="0"/>
    <n v="860"/>
    <n v="1060"/>
    <s v="Kg"/>
    <s v="Restock Bahan Tambahan"/>
  </r>
  <r>
    <d v="2025-11-03T00:00:00"/>
    <s v="FG004"/>
    <x v="1"/>
    <s v="Produk"/>
    <x v="0"/>
    <n v="0"/>
    <n v="350"/>
    <n v="2100"/>
    <n v="1750"/>
    <s v="Pcs"/>
    <s v="Distribusi ke Customer"/>
  </r>
  <r>
    <d v="2025-11-03T00:00:00"/>
    <s v="PK001"/>
    <x v="3"/>
    <s v="Kemasan"/>
    <x v="3"/>
    <n v="400"/>
    <n v="0"/>
    <n v="4000"/>
    <n v="4400"/>
    <s v="Pcs"/>
    <s v="Restock Kemasan"/>
  </r>
  <r>
    <d v="2025-11-03T00:00:00"/>
    <s v="PK004"/>
    <x v="8"/>
    <s v="Kemasan"/>
    <x v="21"/>
    <n v="1100"/>
    <n v="0"/>
    <n v="12550"/>
    <n v="13650"/>
    <s v="Pcs"/>
    <s v="Restock Kemasan"/>
  </r>
  <r>
    <d v="2025-11-03T00:00:00"/>
    <s v="RM005"/>
    <x v="5"/>
    <s v="Bahan Baku"/>
    <x v="11"/>
    <n v="280"/>
    <n v="0"/>
    <n v="2140"/>
    <n v="2420"/>
    <s v="Kg"/>
    <s v="Restock Bahan Baku"/>
  </r>
  <r>
    <d v="2025-11-04T00:00:00"/>
    <s v="AD004"/>
    <x v="14"/>
    <s v="Bahan Tambahan"/>
    <x v="19"/>
    <n v="170"/>
    <n v="0"/>
    <n v="410"/>
    <n v="580"/>
    <s v="Kg"/>
    <s v="Restock Bahan Tambahan"/>
  </r>
  <r>
    <d v="2025-11-04T00:00:00"/>
    <s v="FG002"/>
    <x v="16"/>
    <s v="Produk"/>
    <x v="0"/>
    <n v="800"/>
    <n v="0"/>
    <n v="2700"/>
    <n v="3500"/>
    <s v="Pcs"/>
    <s v="Hasil Produksi"/>
  </r>
  <r>
    <d v="2025-11-04T00:00:00"/>
    <s v="PK006"/>
    <x v="6"/>
    <s v="Kemasan"/>
    <x v="32"/>
    <n v="70"/>
    <n v="0"/>
    <n v="310"/>
    <n v="380"/>
    <s v="Pcs"/>
    <s v="Restock Kemasan"/>
  </r>
  <r>
    <d v="2025-11-04T00:00:00"/>
    <s v="RM003"/>
    <x v="17"/>
    <s v="Bahan Baku"/>
    <x v="11"/>
    <n v="350"/>
    <n v="0"/>
    <n v="1520"/>
    <n v="1870"/>
    <s v="Kg"/>
    <s v="Restock Bahan Baku"/>
  </r>
  <r>
    <d v="2025-11-05T00:00:00"/>
    <s v="AD001"/>
    <x v="11"/>
    <s v="Bahan Tambahan"/>
    <x v="18"/>
    <n v="120"/>
    <n v="0"/>
    <n v="280"/>
    <n v="400"/>
    <s v="Kg"/>
    <s v="Restock Bahan Tambahan"/>
  </r>
  <r>
    <d v="2025-11-05T00:00:00"/>
    <s v="AD002"/>
    <x v="12"/>
    <s v="Bahan Tambahan"/>
    <x v="23"/>
    <n v="130"/>
    <n v="0"/>
    <n v="825"/>
    <n v="955"/>
    <s v="Kg"/>
    <s v="Restock Bahan Tambahan"/>
  </r>
  <r>
    <d v="2025-11-05T00:00:00"/>
    <s v="FG001"/>
    <x v="15"/>
    <s v="Produk"/>
    <x v="20"/>
    <n v="700"/>
    <n v="0"/>
    <n v="2000"/>
    <n v="2700"/>
    <s v="Pcs"/>
    <s v="Hasil Produksi"/>
  </r>
  <r>
    <d v="2025-11-05T00:00:00"/>
    <s v="PK001"/>
    <x v="3"/>
    <s v="Kemasan"/>
    <x v="4"/>
    <n v="0"/>
    <n v="180"/>
    <n v="4400"/>
    <n v="4220"/>
    <s v="Pcs"/>
    <s v="Digunakan Packaging"/>
  </r>
  <r>
    <d v="2025-11-05T00:00:00"/>
    <s v="RM001"/>
    <x v="10"/>
    <s v="Bahan Baku"/>
    <x v="5"/>
    <n v="0"/>
    <n v="500"/>
    <n v="3800"/>
    <n v="3300"/>
    <s v="Kg"/>
    <s v="Digunakan Produksi"/>
  </r>
  <r>
    <d v="2025-11-05T00:00:00"/>
    <s v="RM002"/>
    <x v="9"/>
    <s v="Bahan Baku"/>
    <x v="5"/>
    <n v="500"/>
    <n v="0"/>
    <n v="2600"/>
    <n v="3100"/>
    <s v="Kg"/>
    <s v="Restock Bahan Baku"/>
  </r>
  <r>
    <d v="2025-11-06T00:00:00"/>
    <s v="FG004"/>
    <x v="1"/>
    <s v="Produk"/>
    <x v="1"/>
    <n v="500"/>
    <n v="0"/>
    <n v="1750"/>
    <n v="2250"/>
    <s v="Pcs"/>
    <s v="Hasil Produksi"/>
  </r>
  <r>
    <d v="2025-11-09T00:00:00"/>
    <s v="AD005"/>
    <x v="7"/>
    <s v="Bahan Tambahan"/>
    <x v="22"/>
    <n v="0"/>
    <n v="30"/>
    <n v="700"/>
    <n v="670"/>
    <s v="Kg"/>
    <s v="Digunakan Produksi"/>
  </r>
  <r>
    <d v="2025-11-09T00:00:00"/>
    <s v="RM001"/>
    <x v="10"/>
    <s v="Bahan Baku"/>
    <x v="0"/>
    <n v="550"/>
    <n v="0"/>
    <n v="3300"/>
    <n v="3850"/>
    <s v="Kg"/>
    <s v="Restock Bahan Baku"/>
  </r>
  <r>
    <d v="2025-11-10T00:00:00"/>
    <s v="PK005"/>
    <x v="18"/>
    <s v="Kemasan"/>
    <x v="16"/>
    <n v="0"/>
    <n v="450"/>
    <n v="2650"/>
    <n v="2200"/>
    <s v="Pcs"/>
    <s v="Digunakan Packaging"/>
  </r>
  <r>
    <d v="2025-11-10T00:00:00"/>
    <s v="RM004"/>
    <x v="19"/>
    <s v="Bahan Baku"/>
    <x v="28"/>
    <n v="0"/>
    <n v="300"/>
    <n v="2950"/>
    <n v="2650"/>
    <s v="Kg"/>
    <s v="Digunakan Produksi"/>
  </r>
  <r>
    <d v="2025-11-10T00:00:00"/>
    <s v="RM005"/>
    <x v="5"/>
    <s v="Bahan Baku"/>
    <x v="11"/>
    <n v="0"/>
    <n v="200"/>
    <n v="2420"/>
    <n v="2220"/>
    <s v="Kg"/>
    <s v="Digunakan Produksi"/>
  </r>
  <r>
    <d v="2025-11-11T00:00:00"/>
    <s v="AD003"/>
    <x v="13"/>
    <s v="Bahan Tambahan"/>
    <x v="5"/>
    <n v="0"/>
    <n v="210"/>
    <n v="1060"/>
    <n v="850"/>
    <s v="Kg"/>
    <s v="Digunakan Produksi"/>
  </r>
  <r>
    <d v="2025-11-11T00:00:00"/>
    <s v="PK004"/>
    <x v="8"/>
    <s v="Kemasan"/>
    <x v="25"/>
    <n v="0"/>
    <n v="500"/>
    <n v="13650"/>
    <n v="13150"/>
    <s v="Pcs"/>
    <s v="Digunakan Packaging"/>
  </r>
  <r>
    <d v="2025-11-12T00:00:00"/>
    <s v="AD004"/>
    <x v="14"/>
    <s v="Bahan Tambahan"/>
    <x v="27"/>
    <n v="0"/>
    <n v="150"/>
    <n v="580"/>
    <n v="430"/>
    <s v="Kg"/>
    <s v="Digunakan Produksi"/>
  </r>
  <r>
    <d v="2025-11-12T00:00:00"/>
    <s v="FG001"/>
    <x v="15"/>
    <s v="Produk"/>
    <x v="24"/>
    <n v="0"/>
    <n v="600"/>
    <n v="2700"/>
    <n v="2100"/>
    <s v="Pcs"/>
    <s v="Distribusi ke Customer"/>
  </r>
  <r>
    <d v="2025-11-12T00:00:00"/>
    <s v="FG002"/>
    <x v="16"/>
    <s v="Produk"/>
    <x v="5"/>
    <n v="0"/>
    <n v="600"/>
    <n v="3500"/>
    <n v="2900"/>
    <s v="Pcs"/>
    <s v="Distribusi ke Customer"/>
  </r>
  <r>
    <d v="2025-11-12T00:00:00"/>
    <s v="PK003"/>
    <x v="20"/>
    <s v="Kemasan"/>
    <x v="3"/>
    <n v="0"/>
    <n v="350"/>
    <n v="9100"/>
    <n v="8750"/>
    <s v="Pcs"/>
    <s v="Digunakan Packaging"/>
  </r>
  <r>
    <d v="2025-11-12T00:00:00"/>
    <s v="PK006"/>
    <x v="6"/>
    <s v="Kemasan"/>
    <x v="8"/>
    <n v="0"/>
    <n v="60"/>
    <n v="380"/>
    <n v="320"/>
    <s v="Pcs"/>
    <s v="Digunakan Packaging"/>
  </r>
  <r>
    <d v="2025-11-12T00:00:00"/>
    <s v="RM003"/>
    <x v="17"/>
    <s v="Bahan Baku"/>
    <x v="5"/>
    <n v="0"/>
    <n v="330"/>
    <n v="1870"/>
    <n v="1540"/>
    <s v="Kg"/>
    <s v="Digunakan Produksi"/>
  </r>
  <r>
    <d v="2025-11-13T00:00:00"/>
    <s v="AD001"/>
    <x v="11"/>
    <s v="Bahan Tambahan"/>
    <x v="26"/>
    <n v="0"/>
    <n v="100"/>
    <n v="400"/>
    <n v="300"/>
    <s v="Kg"/>
    <s v="Digunakan Produksi"/>
  </r>
  <r>
    <d v="2025-11-13T00:00:00"/>
    <s v="AD002"/>
    <x v="12"/>
    <s v="Bahan Tambahan"/>
    <x v="29"/>
    <n v="0"/>
    <n v="100"/>
    <n v="955"/>
    <n v="855"/>
    <s v="Kg"/>
    <s v="Digunakan Produksi"/>
  </r>
  <r>
    <d v="2025-11-13T00:00:00"/>
    <s v="RM002"/>
    <x v="9"/>
    <s v="Bahan Baku"/>
    <x v="11"/>
    <n v="0"/>
    <n v="400"/>
    <n v="3100"/>
    <n v="2700"/>
    <s v="Kg"/>
    <s v="Digunakan Produksi"/>
  </r>
  <r>
    <d v="2025-11-14T00:00:00"/>
    <s v="RM001"/>
    <x v="10"/>
    <s v="Bahan Baku"/>
    <x v="11"/>
    <n v="0"/>
    <n v="450"/>
    <n v="3850"/>
    <n v="3400"/>
    <s v="Kg"/>
    <s v="Digunakan Produksi"/>
  </r>
  <r>
    <d v="2025-11-17T00:00:00"/>
    <s v="AD005"/>
    <x v="7"/>
    <s v="Bahan Tambahan"/>
    <x v="31"/>
    <n v="55"/>
    <n v="0"/>
    <n v="670"/>
    <n v="725"/>
    <s v="Kg"/>
    <s v="Restock Bahan Tambahan"/>
  </r>
  <r>
    <d v="2025-11-17T00:00:00"/>
    <s v="PK005"/>
    <x v="18"/>
    <s v="Kemasan"/>
    <x v="30"/>
    <n v="300"/>
    <n v="0"/>
    <n v="2200"/>
    <n v="2500"/>
    <s v="Pcs"/>
    <s v="Restock Kemasan"/>
  </r>
  <r>
    <d v="2025-11-17T00:00:00"/>
    <s v="RM004"/>
    <x v="19"/>
    <s v="Bahan Baku"/>
    <x v="0"/>
    <n v="350"/>
    <n v="0"/>
    <n v="2650"/>
    <n v="3000"/>
    <s v="Kg"/>
    <s v="Restock Bahan Baku"/>
  </r>
  <r>
    <d v="2025-11-18T00:00:00"/>
    <s v="PK004"/>
    <x v="8"/>
    <s v="Kemasan"/>
    <x v="10"/>
    <n v="800"/>
    <n v="0"/>
    <n v="13150"/>
    <n v="13950"/>
    <s v="Pcs"/>
    <s v="Restock Kemasan"/>
  </r>
  <r>
    <d v="2025-11-18T00:00:00"/>
    <s v="RM003"/>
    <x v="17"/>
    <s v="Bahan Baku"/>
    <x v="0"/>
    <n v="300"/>
    <n v="0"/>
    <n v="1540"/>
    <n v="1840"/>
    <s v="Kg"/>
    <s v="Restock Bahan Baku"/>
  </r>
  <r>
    <d v="2025-11-18T00:00:00"/>
    <s v="RM005"/>
    <x v="5"/>
    <s v="Bahan Baku"/>
    <x v="0"/>
    <n v="250"/>
    <n v="0"/>
    <n v="2220"/>
    <n v="2470"/>
    <s v="Kg"/>
    <s v="Restock Bahan Baku"/>
  </r>
  <r>
    <d v="2025-11-19T00:00:00"/>
    <s v="AD003"/>
    <x v="13"/>
    <s v="Bahan Tambahan"/>
    <x v="1"/>
    <n v="190"/>
    <n v="0"/>
    <n v="850"/>
    <n v="1040"/>
    <s v="Kg"/>
    <s v="Restock Bahan Tambahan"/>
  </r>
  <r>
    <d v="2025-11-19T00:00:00"/>
    <s v="RM002"/>
    <x v="9"/>
    <s v="Bahan Baku"/>
    <x v="0"/>
    <n v="350"/>
    <n v="0"/>
    <n v="2700"/>
    <n v="3050"/>
    <s v="Kg"/>
    <s v="Restock Bahan Baku"/>
  </r>
  <r>
    <d v="2025-11-20T00:00:00"/>
    <s v="AD004"/>
    <x v="14"/>
    <s v="Bahan Tambahan"/>
    <x v="9"/>
    <n v="140"/>
    <n v="0"/>
    <n v="430"/>
    <n v="570"/>
    <s v="Kg"/>
    <s v="Restock Bahan Tambahan"/>
  </r>
  <r>
    <d v="2025-11-20T00:00:00"/>
    <s v="FG001"/>
    <x v="15"/>
    <s v="Produk"/>
    <x v="15"/>
    <n v="500"/>
    <n v="0"/>
    <n v="2100"/>
    <n v="2600"/>
    <s v="Pcs"/>
    <s v="Hasil Produksi"/>
  </r>
  <r>
    <d v="2025-11-20T00:00:00"/>
    <s v="PK006"/>
    <x v="6"/>
    <s v="Kemasan"/>
    <x v="17"/>
    <n v="50"/>
    <n v="0"/>
    <n v="320"/>
    <n v="370"/>
    <s v="Pcs"/>
    <s v="Restock Kemasan"/>
  </r>
  <r>
    <d v="2025-11-21T00:00:00"/>
    <s v="AD001"/>
    <x v="11"/>
    <s v="Bahan Tambahan"/>
    <x v="13"/>
    <n v="85"/>
    <n v="0"/>
    <n v="300"/>
    <n v="385"/>
    <s v="Kg"/>
    <s v="Restock Bahan Tambahan"/>
  </r>
  <r>
    <d v="2025-11-21T00:00:00"/>
    <s v="AD002"/>
    <x v="12"/>
    <s v="Bahan Tambahan"/>
    <x v="14"/>
    <n v="140"/>
    <n v="0"/>
    <n v="855"/>
    <n v="995"/>
    <s v="Kg"/>
    <s v="Restock Bahan Tambahan"/>
  </r>
  <r>
    <d v="2025-11-21T00:00:00"/>
    <s v="FG002"/>
    <x v="16"/>
    <s v="Produk"/>
    <x v="1"/>
    <n v="700"/>
    <n v="0"/>
    <n v="2900"/>
    <n v="3600"/>
    <s v="Pcs"/>
    <s v="Hasil Produksi"/>
  </r>
  <r>
    <d v="2025-11-21T00:00:00"/>
    <s v="RM001"/>
    <x v="10"/>
    <s v="Bahan Baku"/>
    <x v="5"/>
    <n v="600"/>
    <n v="0"/>
    <n v="3400"/>
    <n v="4000"/>
    <s v="Kg"/>
    <s v="Restock Bahan Baku"/>
  </r>
  <r>
    <d v="2025-11-24T00:00:00"/>
    <s v="FG005"/>
    <x v="2"/>
    <s v="Produk"/>
    <x v="6"/>
    <n v="550"/>
    <n v="0"/>
    <n v="3050"/>
    <n v="3600"/>
    <s v="Pcs"/>
    <s v="Hasil Produksi"/>
  </r>
  <r>
    <d v="2025-11-25T00:00:00"/>
    <s v="AD005"/>
    <x v="7"/>
    <s v="Bahan Tambahan"/>
    <x v="9"/>
    <n v="0"/>
    <n v="35"/>
    <n v="725"/>
    <n v="690"/>
    <s v="Kg"/>
    <s v="Digunakan Produksi"/>
  </r>
  <r>
    <d v="2025-11-25T00:00:00"/>
    <s v="PK003"/>
    <x v="20"/>
    <s v="Kemasan"/>
    <x v="33"/>
    <n v="1000"/>
    <n v="0"/>
    <n v="8750"/>
    <n v="9750"/>
    <s v="Pcs"/>
    <s v="Restock Kemasan"/>
  </r>
  <r>
    <d v="2025-11-25T00:00:00"/>
    <s v="PK005"/>
    <x v="18"/>
    <s v="Kemasan"/>
    <x v="30"/>
    <n v="0"/>
    <n v="400"/>
    <n v="2500"/>
    <n v="2100"/>
    <s v="Pcs"/>
    <s v="Digunakan Packaging"/>
  </r>
  <r>
    <d v="2025-11-25T00:00:00"/>
    <s v="RM002"/>
    <x v="9"/>
    <s v="Bahan Baku"/>
    <x v="5"/>
    <n v="0"/>
    <n v="300"/>
    <n v="3050"/>
    <n v="2750"/>
    <s v="Kg"/>
    <s v="Digunakan Produksi"/>
  </r>
  <r>
    <d v="2025-11-25T00:00:00"/>
    <s v="RM004"/>
    <x v="19"/>
    <s v="Bahan Baku"/>
    <x v="11"/>
    <n v="0"/>
    <n v="250"/>
    <n v="3000"/>
    <n v="2750"/>
    <s v="Kg"/>
    <s v="Digunakan Produksi"/>
  </r>
  <r>
    <d v="2025-11-25T00:00:00"/>
    <s v="RM005"/>
    <x v="5"/>
    <s v="Bahan Baku"/>
    <x v="0"/>
    <n v="0"/>
    <n v="190"/>
    <n v="2470"/>
    <n v="2280"/>
    <s v="Kg"/>
    <s v="Digunakan Produksi"/>
  </r>
  <r>
    <d v="2025-11-26T00:00:00"/>
    <s v="FG005"/>
    <x v="2"/>
    <s v="Produk"/>
    <x v="5"/>
    <n v="0"/>
    <n v="450"/>
    <n v="3600"/>
    <n v="3150"/>
    <s v="Pcs"/>
    <s v="Distribusi ke Customer"/>
  </r>
  <r>
    <d v="2025-11-26T00:00:00"/>
    <s v="PK004"/>
    <x v="8"/>
    <s v="Kemasan"/>
    <x v="21"/>
    <n v="0"/>
    <n v="400"/>
    <n v="13950"/>
    <n v="13550"/>
    <s v="Pcs"/>
    <s v="Digunakan Packaging"/>
  </r>
  <r>
    <d v="2025-11-27T00:00:00"/>
    <s v="AD003"/>
    <x v="13"/>
    <s v="Bahan Tambahan"/>
    <x v="0"/>
    <n v="0"/>
    <n v="180"/>
    <n v="1040"/>
    <n v="860"/>
    <s v="Kg"/>
    <s v="Digunakan Produksi"/>
  </r>
  <r>
    <d v="2025-11-27T00:00:00"/>
    <s v="FG005"/>
    <x v="2"/>
    <s v="Produk"/>
    <x v="2"/>
    <n v="600"/>
    <n v="0"/>
    <n v="3150"/>
    <n v="3750"/>
    <s v="Pcs"/>
    <s v="Hasil Produksi"/>
  </r>
  <r>
    <d v="2025-11-27T00:00:00"/>
    <s v="RM003"/>
    <x v="17"/>
    <s v="Bahan Baku"/>
    <x v="0"/>
    <n v="0"/>
    <n v="280"/>
    <n v="1840"/>
    <n v="1560"/>
    <s v="Kg"/>
    <s v="Digunakan Produksi"/>
  </r>
  <r>
    <d v="2025-11-28T00:00:00"/>
    <s v="AD004"/>
    <x v="14"/>
    <s v="Bahan Tambahan"/>
    <x v="19"/>
    <n v="0"/>
    <n v="160"/>
    <n v="570"/>
    <n v="410"/>
    <s v="Kg"/>
    <s v="Digunakan Produksi"/>
  </r>
  <r>
    <d v="2025-11-28T00:00:00"/>
    <s v="FG001"/>
    <x v="15"/>
    <s v="Produk"/>
    <x v="20"/>
    <n v="0"/>
    <n v="700"/>
    <n v="2600"/>
    <n v="1900"/>
    <s v="Pcs"/>
    <s v="Distribusi ke Customer"/>
  </r>
  <r>
    <d v="2025-11-28T00:00:00"/>
    <s v="PK006"/>
    <x v="6"/>
    <s v="Kemasan"/>
    <x v="32"/>
    <n v="0"/>
    <n v="40"/>
    <n v="370"/>
    <n v="330"/>
    <s v="Pcs"/>
    <s v="Digunakan Packaging"/>
  </r>
  <r>
    <d v="2025-11-29T00:00:00"/>
    <s v="AD001"/>
    <x v="11"/>
    <s v="Bahan Tambahan"/>
    <x v="18"/>
    <n v="0"/>
    <n v="95"/>
    <n v="385"/>
    <n v="290"/>
    <s v="Kg"/>
    <s v="Digunakan Produksi"/>
  </r>
  <r>
    <d v="2025-11-29T00:00:00"/>
    <s v="AD002"/>
    <x v="12"/>
    <s v="Bahan Tambahan"/>
    <x v="23"/>
    <n v="0"/>
    <n v="105"/>
    <n v="995"/>
    <n v="890"/>
    <s v="Kg"/>
    <s v="Digunakan Produksi"/>
  </r>
  <r>
    <d v="2025-11-29T00:00:00"/>
    <s v="FG002"/>
    <x v="16"/>
    <s v="Produk"/>
    <x v="0"/>
    <n v="0"/>
    <n v="700"/>
    <n v="3600"/>
    <n v="2900"/>
    <s v="Pcs"/>
    <s v="Distribusi ke Customer"/>
  </r>
  <r>
    <d v="2025-11-29T00:00:00"/>
    <s v="FG005"/>
    <x v="2"/>
    <s v="Produk"/>
    <x v="6"/>
    <n v="0"/>
    <n v="500"/>
    <n v="3750"/>
    <n v="3250"/>
    <s v="Pcs"/>
    <s v="Distribusi ke Customer"/>
  </r>
  <r>
    <d v="2025-11-30T00:00:00"/>
    <s v="PK002"/>
    <x v="4"/>
    <s v="Kemasan"/>
    <x v="12"/>
    <n v="0"/>
    <n v="400"/>
    <n v="12700"/>
    <n v="12300"/>
    <s v="Pcs"/>
    <s v="Digunakan Packaging"/>
  </r>
  <r>
    <d v="2025-11-30T00:00:00"/>
    <s v="RM001"/>
    <x v="10"/>
    <s v="Bahan Baku"/>
    <x v="0"/>
    <n v="0"/>
    <n v="500"/>
    <n v="4000"/>
    <n v="3500"/>
    <s v="Kg"/>
    <s v="Digunakan Produksi"/>
  </r>
  <r>
    <d v="2025-12-01T00:00:00"/>
    <s v="FG005"/>
    <x v="2"/>
    <s v="Produk"/>
    <x v="2"/>
    <n v="0"/>
    <n v="450"/>
    <n v="3800"/>
    <n v="3350"/>
    <s v="Pcs"/>
    <s v="Distribusi ke Customer"/>
  </r>
  <r>
    <d v="2025-12-01T00:00:00"/>
    <s v="PK002"/>
    <x v="4"/>
    <s v="Kemasan"/>
    <x v="4"/>
    <n v="1000"/>
    <n v="0"/>
    <n v="12300"/>
    <n v="13300"/>
    <s v="Pcs"/>
    <s v="Restock Kemasan"/>
  </r>
  <r>
    <d v="2025-12-01T00:00:00"/>
    <s v="PK005"/>
    <x v="18"/>
    <s v="Kemasan"/>
    <x v="34"/>
    <n v="600"/>
    <n v="0"/>
    <n v="2100"/>
    <n v="2700"/>
    <s v="Pcs"/>
    <s v="Restock Kemasan"/>
  </r>
  <r>
    <d v="2025-12-02T00:00:00"/>
    <s v="PK004"/>
    <x v="8"/>
    <s v="Kemasan"/>
    <x v="25"/>
    <n v="1200"/>
    <n v="0"/>
    <n v="13550"/>
    <n v="14750"/>
    <s v="Pcs"/>
    <s v="Restock Kemasan"/>
  </r>
  <r>
    <d v="2025-12-02T00:00:00"/>
    <s v="RM002"/>
    <x v="9"/>
    <s v="Bahan Baku"/>
    <x v="11"/>
    <n v="400"/>
    <n v="0"/>
    <n v="2750"/>
    <n v="3150"/>
    <s v="Kg"/>
    <s v="Restock Bahan Baku"/>
  </r>
  <r>
    <d v="2025-12-02T00:00:00"/>
    <s v="RM003"/>
    <x v="17"/>
    <s v="Bahan Baku"/>
    <x v="5"/>
    <n v="320"/>
    <n v="0"/>
    <n v="1560"/>
    <n v="1880"/>
    <s v="Kg"/>
    <s v="Restock Bahan Baku"/>
  </r>
  <r>
    <d v="2025-12-02T00:00:00"/>
    <s v="RM005"/>
    <x v="5"/>
    <s v="Bahan Baku"/>
    <x v="5"/>
    <n v="300"/>
    <n v="0"/>
    <n v="2280"/>
    <n v="2580"/>
    <s v="Kg"/>
    <s v="Restock Bahan Baku"/>
  </r>
  <r>
    <d v="2025-12-03T00:00:00"/>
    <s v="FG001"/>
    <x v="15"/>
    <s v="Produk"/>
    <x v="24"/>
    <n v="600"/>
    <n v="0"/>
    <n v="1900"/>
    <n v="2500"/>
    <s v="Pcs"/>
    <s v="Hasil Produksi"/>
  </r>
  <r>
    <d v="2025-12-03T00:00:00"/>
    <s v="FG002"/>
    <x v="16"/>
    <s v="Produk"/>
    <x v="5"/>
    <n v="900"/>
    <n v="0"/>
    <n v="2900"/>
    <n v="3800"/>
    <s v="Pcs"/>
    <s v="Hasil Produksi"/>
  </r>
  <r>
    <d v="2025-12-03T00:00:00"/>
    <s v="FG005"/>
    <x v="2"/>
    <s v="Produk"/>
    <x v="6"/>
    <n v="600"/>
    <n v="0"/>
    <n v="3350"/>
    <n v="3950"/>
    <s v="Pcs"/>
    <s v="Hasil Produksi"/>
  </r>
  <r>
    <d v="2025-12-03T00:00:00"/>
    <s v="PK002"/>
    <x v="4"/>
    <s v="Kemasan"/>
    <x v="7"/>
    <n v="0"/>
    <n v="500"/>
    <n v="13300"/>
    <n v="12800"/>
    <s v="Pcs"/>
    <s v="Digunakan Packaging"/>
  </r>
  <r>
    <d v="2025-12-03T00:00:00"/>
    <s v="PK006"/>
    <x v="6"/>
    <s v="Kemasan"/>
    <x v="8"/>
    <n v="60"/>
    <n v="0"/>
    <n v="330"/>
    <n v="390"/>
    <s v="Pcs"/>
    <s v="Restock Kemasan"/>
  </r>
  <r>
    <d v="2025-12-03T00:00:00"/>
    <s v="RM004"/>
    <x v="19"/>
    <s v="Bahan Baku"/>
    <x v="28"/>
    <n v="450"/>
    <n v="0"/>
    <n v="2750"/>
    <n v="3200"/>
    <s v="Kg"/>
    <s v="Restock Bahan Baku"/>
  </r>
  <r>
    <d v="2025-12-04T00:00:00"/>
    <s v="AD001"/>
    <x v="11"/>
    <s v="Bahan Tambahan"/>
    <x v="26"/>
    <n v="125"/>
    <n v="0"/>
    <n v="290"/>
    <n v="415"/>
    <s v="Kg"/>
    <s v="Restock Bahan Tambahan"/>
  </r>
  <r>
    <d v="2025-12-04T00:00:00"/>
    <s v="AD002"/>
    <x v="12"/>
    <s v="Bahan Tambahan"/>
    <x v="29"/>
    <n v="150"/>
    <n v="0"/>
    <n v="890"/>
    <n v="1040"/>
    <s v="Kg"/>
    <s v="Restock Bahan Tambahan"/>
  </r>
  <r>
    <d v="2025-12-04T00:00:00"/>
    <s v="AD003"/>
    <x v="13"/>
    <s v="Bahan Tambahan"/>
    <x v="5"/>
    <n v="210"/>
    <n v="0"/>
    <n v="860"/>
    <n v="1070"/>
    <s v="Kg"/>
    <s v="Restock Bahan Tambahan"/>
  </r>
  <r>
    <d v="2025-12-04T00:00:00"/>
    <s v="AD005"/>
    <x v="7"/>
    <s v="Bahan Tambahan"/>
    <x v="22"/>
    <n v="60"/>
    <n v="0"/>
    <n v="690"/>
    <n v="750"/>
    <s v="Kg"/>
    <s v="Restock Bahan Tambahan"/>
  </r>
  <r>
    <d v="2025-12-05T00:00:00"/>
    <s v="AD004"/>
    <x v="14"/>
    <s v="Bahan Tambahan"/>
    <x v="27"/>
    <n v="180"/>
    <n v="0"/>
    <n v="410"/>
    <n v="590"/>
    <s v="Kg"/>
    <s v="Restock Bahan Tambahan"/>
  </r>
  <r>
    <d v="2025-12-05T00:00:00"/>
    <s v="FG005"/>
    <x v="2"/>
    <s v="Produk"/>
    <x v="5"/>
    <n v="0"/>
    <n v="500"/>
    <n v="3950"/>
    <n v="3450"/>
    <s v="Pcs"/>
    <s v="Distribusi ke Customer"/>
  </r>
  <r>
    <d v="2025-12-05T00:00:00"/>
    <s v="PK002"/>
    <x v="4"/>
    <s v="Kemasan"/>
    <x v="12"/>
    <n v="1200"/>
    <n v="0"/>
    <n v="12800"/>
    <n v="14000"/>
    <s v="Pcs"/>
    <s v="Restock Kemasan"/>
  </r>
  <r>
    <d v="2025-12-06T00:00:00"/>
    <s v="FG005"/>
    <x v="2"/>
    <s v="Produk"/>
    <x v="2"/>
    <n v="550"/>
    <n v="0"/>
    <n v="3450"/>
    <n v="4000"/>
    <s v="Pcs"/>
    <s v="Hasil Produksi"/>
  </r>
  <r>
    <d v="2025-12-06T00:00:00"/>
    <s v="PK001"/>
    <x v="3"/>
    <s v="Kemasan"/>
    <x v="10"/>
    <n v="350"/>
    <n v="0"/>
    <n v="4220"/>
    <n v="4570"/>
    <s v="Pcs"/>
    <s v="Restock Kemasan"/>
  </r>
  <r>
    <d v="2025-12-06T00:00:00"/>
    <s v="PK002"/>
    <x v="4"/>
    <s v="Kemasan"/>
    <x v="4"/>
    <n v="0"/>
    <n v="600"/>
    <n v="14000"/>
    <n v="13400"/>
    <s v="Pcs"/>
    <s v="Digunakan Packaging"/>
  </r>
  <r>
    <d v="2025-12-06T00:00:00"/>
    <s v="RM001"/>
    <x v="10"/>
    <s v="Bahan Baku"/>
    <x v="11"/>
    <n v="550"/>
    <n v="0"/>
    <n v="3500"/>
    <n v="4050"/>
    <s v="Kg"/>
    <s v="Restock Bahan Baku"/>
  </r>
  <r>
    <d v="2025-12-07T00:00:00"/>
    <s v="PK005"/>
    <x v="18"/>
    <s v="Kemasan"/>
    <x v="34"/>
    <n v="0"/>
    <n v="500"/>
    <n v="2700"/>
    <n v="2200"/>
    <s v="Pcs"/>
    <s v="Digunakan Packaging"/>
  </r>
  <r>
    <d v="2025-12-08T00:00:00"/>
    <s v="FG004"/>
    <x v="1"/>
    <s v="Produk"/>
    <x v="5"/>
    <n v="0"/>
    <n v="400"/>
    <n v="2250"/>
    <n v="1850"/>
    <s v="Pcs"/>
    <s v="Distribusi ke Customer"/>
  </r>
  <r>
    <d v="2025-12-08T00:00:00"/>
    <s v="FG005"/>
    <x v="2"/>
    <s v="Produk"/>
    <x v="6"/>
    <n v="0"/>
    <n v="450"/>
    <n v="4000"/>
    <n v="3550"/>
    <s v="Pcs"/>
    <s v="Distribusi ke Customer"/>
  </r>
  <r>
    <d v="2025-12-08T00:00:00"/>
    <s v="PK001"/>
    <x v="3"/>
    <s v="Kemasan"/>
    <x v="3"/>
    <n v="0"/>
    <n v="200"/>
    <n v="4570"/>
    <n v="4370"/>
    <s v="Pcs"/>
    <s v="Digunakan Packaging"/>
  </r>
  <r>
    <d v="2025-12-08T00:00:00"/>
    <s v="PK002"/>
    <x v="4"/>
    <s v="Kemasan"/>
    <x v="7"/>
    <n v="1000"/>
    <n v="0"/>
    <n v="13400"/>
    <n v="14400"/>
    <s v="Pcs"/>
    <s v="Restock Kemasan"/>
  </r>
  <r>
    <d v="2025-12-08T00:00:00"/>
    <s v="RM004"/>
    <x v="19"/>
    <s v="Bahan Baku"/>
    <x v="0"/>
    <n v="0"/>
    <n v="350"/>
    <n v="3200"/>
    <n v="2850"/>
    <s v="Kg"/>
    <s v="Digunakan Produksi"/>
  </r>
  <r>
    <d v="2025-12-09T00:00:00"/>
    <s v="RM002"/>
    <x v="9"/>
    <s v="Bahan Baku"/>
    <x v="0"/>
    <n v="0"/>
    <n v="350"/>
    <n v="3150"/>
    <n v="2800"/>
    <s v="Kg"/>
    <s v="Digunakan Produksi"/>
  </r>
  <r>
    <d v="2025-12-09T00:00:00"/>
    <s v="RM003"/>
    <x v="17"/>
    <s v="Bahan Baku"/>
    <x v="11"/>
    <n v="0"/>
    <n v="300"/>
    <n v="1880"/>
    <n v="1580"/>
    <s v="Kg"/>
    <s v="Digunakan Produksi"/>
  </r>
  <r>
    <d v="2025-12-09T00:00:00"/>
    <s v="RM005"/>
    <x v="5"/>
    <s v="Bahan Baku"/>
    <x v="5"/>
    <n v="0"/>
    <n v="220"/>
    <n v="2580"/>
    <n v="2360"/>
    <s v="Kg"/>
    <s v="Digunakan Produksi"/>
  </r>
  <r>
    <d v="2025-12-10T00:00:00"/>
    <s v="FG005"/>
    <x v="2"/>
    <s v="Produk"/>
    <x v="5"/>
    <n v="600"/>
    <n v="0"/>
    <n v="3550"/>
    <n v="4150"/>
    <s v="Pcs"/>
    <s v="Hasil Produksi"/>
  </r>
  <r>
    <d v="2025-12-10T00:00:00"/>
    <s v="PK001"/>
    <x v="3"/>
    <s v="Kemasan"/>
    <x v="3"/>
    <n v="500"/>
    <n v="0"/>
    <n v="4370"/>
    <n v="4870"/>
    <s v="Pcs"/>
    <s v="Restock Kemasan"/>
  </r>
  <r>
    <d v="2025-12-10T00:00:00"/>
    <s v="PK002"/>
    <x v="4"/>
    <s v="Kemasan"/>
    <x v="12"/>
    <n v="0"/>
    <n v="500"/>
    <n v="14400"/>
    <n v="13900"/>
    <s v="Pcs"/>
    <s v="Digunakan Packaging"/>
  </r>
  <r>
    <d v="2025-12-10T00:00:00"/>
    <s v="PK004"/>
    <x v="8"/>
    <s v="Kemasan"/>
    <x v="10"/>
    <n v="0"/>
    <n v="500"/>
    <n v="14750"/>
    <n v="14250"/>
    <s v="Pcs"/>
    <s v="Digunakan Packaging"/>
  </r>
  <r>
    <d v="2025-12-11T00:00:00"/>
    <s v="FG001"/>
    <x v="15"/>
    <s v="Produk"/>
    <x v="15"/>
    <n v="0"/>
    <n v="500"/>
    <n v="2500"/>
    <n v="2000"/>
    <s v="Pcs"/>
    <s v="Distribusi ke Customer"/>
  </r>
  <r>
    <d v="2025-12-11T00:00:00"/>
    <s v="FG002"/>
    <x v="16"/>
    <s v="Produk"/>
    <x v="1"/>
    <n v="0"/>
    <n v="800"/>
    <n v="3800"/>
    <n v="3000"/>
    <s v="Pcs"/>
    <s v="Distribusi ke Customer"/>
  </r>
  <r>
    <d v="2025-12-11T00:00:00"/>
    <s v="PK001"/>
    <x v="3"/>
    <s v="Kemasan"/>
    <x v="4"/>
    <n v="0"/>
    <n v="250"/>
    <n v="4870"/>
    <n v="4620"/>
    <s v="Pcs"/>
    <s v="Digunakan Packaging"/>
  </r>
  <r>
    <d v="2025-12-11T00:00:00"/>
    <s v="PK006"/>
    <x v="6"/>
    <s v="Kemasan"/>
    <x v="32"/>
    <n v="0"/>
    <n v="50"/>
    <n v="390"/>
    <n v="340"/>
    <s v="Pcs"/>
    <s v="Digunakan Packaging"/>
  </r>
  <r>
    <d v="2025-12-12T00:00:00"/>
    <s v="AD001"/>
    <x v="11"/>
    <s v="Bahan Tambahan"/>
    <x v="13"/>
    <n v="0"/>
    <n v="105"/>
    <n v="415"/>
    <n v="310"/>
    <s v="Kg"/>
    <s v="Digunakan Produksi"/>
  </r>
  <r>
    <d v="2025-12-12T00:00:00"/>
    <s v="AD002"/>
    <x v="12"/>
    <s v="Bahan Tambahan"/>
    <x v="14"/>
    <n v="0"/>
    <n v="110"/>
    <n v="1040"/>
    <n v="930"/>
    <s v="Kg"/>
    <s v="Digunakan Produksi"/>
  </r>
  <r>
    <d v="2025-12-12T00:00:00"/>
    <s v="AD003"/>
    <x v="13"/>
    <s v="Bahan Tambahan"/>
    <x v="1"/>
    <n v="0"/>
    <n v="200"/>
    <n v="1070"/>
    <n v="870"/>
    <s v="Kg"/>
    <s v="Digunakan Produksi"/>
  </r>
  <r>
    <d v="2025-12-12T00:00:00"/>
    <s v="AD005"/>
    <x v="7"/>
    <s v="Bahan Tambahan"/>
    <x v="31"/>
    <n v="0"/>
    <n v="40"/>
    <n v="750"/>
    <n v="710"/>
    <s v="Kg"/>
    <s v="Digunakan Produksi"/>
  </r>
  <r>
    <d v="2025-12-12T00:00:00"/>
    <s v="FG005"/>
    <x v="2"/>
    <s v="Produk"/>
    <x v="2"/>
    <n v="0"/>
    <n v="500"/>
    <n v="4150"/>
    <n v="3650"/>
    <s v="Pcs"/>
    <s v="Distribusi ke Customer"/>
  </r>
  <r>
    <d v="2025-12-12T00:00:00"/>
    <s v="PK002"/>
    <x v="4"/>
    <s v="Kemasan"/>
    <x v="4"/>
    <n v="1100"/>
    <n v="0"/>
    <n v="13900"/>
    <n v="15000"/>
    <s v="Pcs"/>
    <s v="Restock Kemasan"/>
  </r>
  <r>
    <d v="2025-12-13T00:00:00"/>
    <s v="AD004"/>
    <x v="14"/>
    <s v="Bahan Tambahan"/>
    <x v="9"/>
    <n v="0"/>
    <n v="170"/>
    <n v="590"/>
    <n v="420"/>
    <s v="Kg"/>
    <s v="Digunakan Produksi"/>
  </r>
  <r>
    <d v="2025-12-13T00:00:00"/>
    <s v="FG005"/>
    <x v="2"/>
    <s v="Produk"/>
    <x v="6"/>
    <n v="550"/>
    <n v="0"/>
    <n v="3650"/>
    <n v="4200"/>
    <s v="Pcs"/>
    <s v="Hasil Produksi"/>
  </r>
  <r>
    <d v="2025-12-13T00:00:00"/>
    <s v="PK001"/>
    <x v="3"/>
    <s v="Kemasan"/>
    <x v="10"/>
    <n v="400"/>
    <n v="0"/>
    <n v="4620"/>
    <n v="5020"/>
    <s v="Pcs"/>
    <s v="Restock Kemasan"/>
  </r>
  <r>
    <d v="2025-12-14T00:00:00"/>
    <s v="PK002"/>
    <x v="4"/>
    <s v="Kemasan"/>
    <x v="7"/>
    <n v="0"/>
    <n v="600"/>
    <n v="15000"/>
    <n v="14400"/>
    <s v="Pcs"/>
    <s v="Digunakan Packaging"/>
  </r>
  <r>
    <d v="2025-12-15T00:00:00"/>
    <s v="FG005"/>
    <x v="2"/>
    <s v="Produk"/>
    <x v="5"/>
    <n v="0"/>
    <n v="450"/>
    <n v="4200"/>
    <n v="3750"/>
    <s v="Pcs"/>
    <s v="Distribusi ke Customer"/>
  </r>
  <r>
    <d v="2025-12-15T00:00:00"/>
    <s v="PK001"/>
    <x v="3"/>
    <s v="Kemasan"/>
    <x v="3"/>
    <n v="0"/>
    <n v="300"/>
    <n v="5020"/>
    <n v="4720"/>
    <s v="Pcs"/>
    <s v="Digunakan Packaging"/>
  </r>
  <r>
    <d v="2025-12-15T00:00:00"/>
    <s v="RM001"/>
    <x v="10"/>
    <s v="Bahan Baku"/>
    <x v="5"/>
    <n v="0"/>
    <n v="450"/>
    <n v="4050"/>
    <n v="3600"/>
    <s v="Kg"/>
    <s v="Digunakan Produksi"/>
  </r>
  <r>
    <d v="2025-12-15T00:00:00"/>
    <s v="RM003"/>
    <x v="17"/>
    <s v="Bahan Baku"/>
    <x v="0"/>
    <n v="260"/>
    <n v="0"/>
    <n v="1580"/>
    <n v="1840"/>
    <s v="Kg"/>
    <s v="Restock Bahan Baku"/>
  </r>
  <r>
    <d v="2025-12-16T00:00:00"/>
    <s v="PK002"/>
    <x v="4"/>
    <s v="Kemasan"/>
    <x v="12"/>
    <n v="1000"/>
    <n v="0"/>
    <n v="14400"/>
    <n v="15400"/>
    <s v="Pcs"/>
    <s v="Restock Kemasan"/>
  </r>
  <r>
    <d v="2025-12-16T00:00:00"/>
    <s v="PK005"/>
    <x v="18"/>
    <s v="Kemasan"/>
    <x v="30"/>
    <n v="400"/>
    <n v="0"/>
    <n v="2200"/>
    <n v="2600"/>
    <s v="Pcs"/>
    <s v="Restock Kemasan"/>
  </r>
  <r>
    <d v="2025-12-17T00:00:00"/>
    <s v="PK001"/>
    <x v="3"/>
    <s v="Kemasan"/>
    <x v="3"/>
    <n v="450"/>
    <n v="0"/>
    <n v="4720"/>
    <n v="5170"/>
    <s v="Pcs"/>
    <s v="Restock Kemasan"/>
  </r>
  <r>
    <d v="2025-12-17T00:00:00"/>
    <s v="PK003"/>
    <x v="20"/>
    <s v="Kemasan"/>
    <x v="4"/>
    <n v="0"/>
    <n v="400"/>
    <n v="9750"/>
    <n v="9350"/>
    <s v="Pcs"/>
    <s v="Digunakan Packaging"/>
  </r>
  <r>
    <d v="2025-12-17T00:00:00"/>
    <s v="RM002"/>
    <x v="9"/>
    <s v="Bahan Baku"/>
    <x v="5"/>
    <n v="300"/>
    <n v="0"/>
    <n v="2800"/>
    <n v="3100"/>
    <s v="Kg"/>
    <s v="Restock Bahan Baku"/>
  </r>
  <r>
    <d v="2025-12-17T00:00:00"/>
    <s v="RM005"/>
    <x v="5"/>
    <s v="Bahan Baku"/>
    <x v="11"/>
    <n v="260"/>
    <n v="0"/>
    <n v="2360"/>
    <n v="2620"/>
    <s v="Kg"/>
    <s v="Restock Bahan Baku"/>
  </r>
  <r>
    <d v="2025-12-18T00:00:00"/>
    <s v="PK002"/>
    <x v="4"/>
    <s v="Kemasan"/>
    <x v="4"/>
    <n v="0"/>
    <n v="500"/>
    <n v="15400"/>
    <n v="14900"/>
    <s v="Pcs"/>
    <s v="Digunakan Packaging"/>
  </r>
  <r>
    <d v="2025-12-18T00:00:00"/>
    <s v="PK006"/>
    <x v="6"/>
    <s v="Kemasan"/>
    <x v="17"/>
    <n v="40"/>
    <n v="0"/>
    <n v="340"/>
    <n v="380"/>
    <s v="Pcs"/>
    <s v="Restock Kemasan"/>
  </r>
  <r>
    <d v="2025-12-19T00:00:00"/>
    <s v="FG001"/>
    <x v="15"/>
    <s v="Produk"/>
    <x v="20"/>
    <n v="700"/>
    <n v="0"/>
    <n v="2000"/>
    <n v="2700"/>
    <s v="Pcs"/>
    <s v="Hasil Produksi"/>
  </r>
  <r>
    <d v="2025-12-19T00:00:00"/>
    <s v="PK001"/>
    <x v="3"/>
    <s v="Kemasan"/>
    <x v="4"/>
    <n v="0"/>
    <n v="200"/>
    <n v="5170"/>
    <n v="4970"/>
    <s v="Pcs"/>
    <s v="Digunakan Packaging"/>
  </r>
  <r>
    <d v="2025-12-19T00:00:00"/>
    <s v="PK004"/>
    <x v="8"/>
    <s v="Kemasan"/>
    <x v="21"/>
    <n v="800"/>
    <n v="0"/>
    <n v="14250"/>
    <n v="15050"/>
    <s v="Pcs"/>
    <s v="Restock Kemasan"/>
  </r>
  <r>
    <d v="2025-12-19T00:00:00"/>
    <s v="RM004"/>
    <x v="19"/>
    <s v="Bahan Baku"/>
    <x v="11"/>
    <n v="300"/>
    <n v="0"/>
    <n v="2850"/>
    <n v="3150"/>
    <s v="Kg"/>
    <s v="Restock Bahan Baku"/>
  </r>
  <r>
    <d v="2025-12-20T00:00:00"/>
    <s v="AD001"/>
    <x v="11"/>
    <s v="Bahan Tambahan"/>
    <x v="18"/>
    <n v="90"/>
    <n v="0"/>
    <n v="310"/>
    <n v="400"/>
    <s v="Kg"/>
    <s v="Restock Bahan Tambahan"/>
  </r>
  <r>
    <d v="2025-12-20T00:00:00"/>
    <s v="AD002"/>
    <x v="12"/>
    <s v="Bahan Tambahan"/>
    <x v="23"/>
    <n v="130"/>
    <n v="0"/>
    <n v="930"/>
    <n v="1060"/>
    <s v="Kg"/>
    <s v="Restock Bahan Tambahan"/>
  </r>
  <r>
    <d v="2025-12-20T00:00:00"/>
    <s v="AD003"/>
    <x v="13"/>
    <s v="Bahan Tambahan"/>
    <x v="0"/>
    <n v="180"/>
    <n v="0"/>
    <n v="870"/>
    <n v="1050"/>
    <s v="Kg"/>
    <s v="Restock Bahan Tambahan"/>
  </r>
  <r>
    <d v="2025-12-20T00:00:00"/>
    <s v="FG002"/>
    <x v="16"/>
    <s v="Produk"/>
    <x v="0"/>
    <n v="1000"/>
    <n v="0"/>
    <n v="3000"/>
    <n v="4000"/>
    <s v="Pcs"/>
    <s v="Hasil Produksi"/>
  </r>
  <r>
    <d v="2025-12-20T00:00:00"/>
    <s v="PK001"/>
    <x v="3"/>
    <s v="Kemasan"/>
    <x v="10"/>
    <n v="400"/>
    <n v="0"/>
    <n v="4970"/>
    <n v="5370"/>
    <s v="Pcs"/>
    <s v="Restock Kemasan"/>
  </r>
  <r>
    <d v="2025-12-20T00:00:00"/>
    <s v="PK002"/>
    <x v="4"/>
    <s v="Kemasan"/>
    <x v="7"/>
    <n v="900"/>
    <n v="0"/>
    <n v="14900"/>
    <n v="15800"/>
    <s v="Pcs"/>
    <s v="Restock Kemasan"/>
  </r>
  <r>
    <d v="2025-12-20T00:00:00"/>
    <s v="RM003"/>
    <x v="17"/>
    <s v="Bahan Baku"/>
    <x v="0"/>
    <n v="0"/>
    <n v="250"/>
    <n v="1840"/>
    <n v="1590"/>
    <s v="Kg"/>
    <s v="Digunakan Produksi"/>
  </r>
  <r>
    <d v="2025-12-21T00:00:00"/>
    <s v="AD004"/>
    <x v="14"/>
    <s v="Bahan Tambahan"/>
    <x v="19"/>
    <n v="150"/>
    <n v="0"/>
    <n v="420"/>
    <n v="570"/>
    <s v="Kg"/>
    <s v="Restock Bahan Tambahan"/>
  </r>
  <r>
    <d v="2025-12-21T00:00:00"/>
    <s v="AD005"/>
    <x v="7"/>
    <s v="Bahan Tambahan"/>
    <x v="9"/>
    <n v="55"/>
    <n v="0"/>
    <n v="710"/>
    <n v="765"/>
    <s v="Kg"/>
    <s v="Restock Bahan Tambahan"/>
  </r>
  <r>
    <d v="2025-12-22T00:00:00"/>
    <s v="PK001"/>
    <x v="3"/>
    <s v="Kemasan"/>
    <x v="3"/>
    <n v="0"/>
    <n v="250"/>
    <n v="5370"/>
    <n v="5120"/>
    <s v="Pcs"/>
    <s v="Digunakan Packaging"/>
  </r>
  <r>
    <d v="2025-12-22T00:00:00"/>
    <s v="PK002"/>
    <x v="4"/>
    <s v="Kemasan"/>
    <x v="12"/>
    <n v="0"/>
    <n v="400"/>
    <n v="15800"/>
    <n v="15400"/>
    <s v="Pcs"/>
    <s v="Digunakan Packaging"/>
  </r>
  <r>
    <d v="2025-12-22T00:00:00"/>
    <s v="RM001"/>
    <x v="10"/>
    <s v="Bahan Baku"/>
    <x v="0"/>
    <n v="600"/>
    <n v="0"/>
    <n v="3600"/>
    <n v="4200"/>
    <s v="Kg"/>
    <s v="Restock Bahan Baku"/>
  </r>
  <r>
    <d v="2025-12-24T00:00:00"/>
    <s v="PK001"/>
    <x v="3"/>
    <s v="Kemasan"/>
    <x v="3"/>
    <n v="500"/>
    <n v="0"/>
    <n v="5120"/>
    <n v="5620"/>
    <s v="Pcs"/>
    <s v="Restock Kemasan"/>
  </r>
  <r>
    <d v="2025-12-24T00:00:00"/>
    <s v="PK002"/>
    <x v="4"/>
    <s v="Kemasan"/>
    <x v="4"/>
    <n v="1000"/>
    <n v="0"/>
    <n v="15400"/>
    <n v="16400"/>
    <s v="Pcs"/>
    <s v="Restock Kemasan"/>
  </r>
  <r>
    <d v="2025-12-24T00:00:00"/>
    <s v="RM003"/>
    <x v="17"/>
    <s v="Bahan Baku"/>
    <x v="11"/>
    <n v="340"/>
    <n v="0"/>
    <n v="1590"/>
    <n v="1930"/>
    <s v="Kg"/>
    <s v="Restock Bahan Baku"/>
  </r>
  <r>
    <d v="2025-12-24T00:00:00"/>
    <s v="RM005"/>
    <x v="5"/>
    <s v="Bahan Baku"/>
    <x v="11"/>
    <n v="0"/>
    <n v="210"/>
    <n v="2620"/>
    <n v="2410"/>
    <s v="Kg"/>
    <s v="Digunakan Produksi"/>
  </r>
  <r>
    <d v="2025-12-26T00:00:00"/>
    <s v="PK001"/>
    <x v="3"/>
    <s v="Kemasan"/>
    <x v="4"/>
    <n v="0"/>
    <n v="300"/>
    <n v="5620"/>
    <n v="5320"/>
    <s v="Pcs"/>
    <s v="Digunakan Packaging"/>
  </r>
  <r>
    <d v="2025-12-26T00:00:00"/>
    <s v="PK002"/>
    <x v="4"/>
    <s v="Kemasan"/>
    <x v="7"/>
    <n v="0"/>
    <n v="500"/>
    <n v="16400"/>
    <n v="15900"/>
    <s v="Pcs"/>
    <s v="Digunakan Packaging"/>
  </r>
  <r>
    <d v="2025-12-26T00:00:00"/>
    <s v="PK006"/>
    <x v="6"/>
    <s v="Kemasan"/>
    <x v="8"/>
    <n v="0"/>
    <n v="30"/>
    <n v="380"/>
    <n v="350"/>
    <s v="Pcs"/>
    <s v="Digunakan Packaging"/>
  </r>
  <r>
    <d v="2025-12-26T00:00:00"/>
    <s v="RM003"/>
    <x v="17"/>
    <s v="Bahan Baku"/>
    <x v="5"/>
    <n v="0"/>
    <n v="310"/>
    <n v="1930"/>
    <n v="1620"/>
    <s v="Kg"/>
    <s v="Digunakan Produksi"/>
  </r>
  <r>
    <d v="2025-12-27T00:00:00"/>
    <s v="FG001"/>
    <x v="15"/>
    <s v="Produk"/>
    <x v="24"/>
    <n v="0"/>
    <n v="600"/>
    <n v="2700"/>
    <n v="2100"/>
    <s v="Pcs"/>
    <s v="Distribusi ke Customer"/>
  </r>
  <r>
    <d v="2025-12-27T00:00:00"/>
    <s v="RM001"/>
    <x v="10"/>
    <s v="Bahan Baku"/>
    <x v="11"/>
    <n v="0"/>
    <n v="500"/>
    <n v="4200"/>
    <n v="3700"/>
    <s v="Kg"/>
    <s v="Digunakan Produksi"/>
  </r>
  <r>
    <d v="2025-12-27T00:00:00"/>
    <s v="RM004"/>
    <x v="19"/>
    <s v="Bahan Baku"/>
    <x v="28"/>
    <n v="0"/>
    <n v="250"/>
    <n v="3150"/>
    <n v="2900"/>
    <s v="Kg"/>
    <s v="Digunakan Produksi"/>
  </r>
  <r>
    <d v="2025-12-28T00:00:00"/>
    <s v="AD001"/>
    <x v="11"/>
    <s v="Bahan Tambahan"/>
    <x v="26"/>
    <n v="0"/>
    <n v="120"/>
    <n v="400"/>
    <n v="280"/>
    <s v="Kg"/>
    <s v="Digunakan Produksi"/>
  </r>
  <r>
    <d v="2025-12-28T00:00:00"/>
    <s v="AD002"/>
    <x v="12"/>
    <s v="Bahan Tambahan"/>
    <x v="29"/>
    <n v="0"/>
    <n v="120"/>
    <n v="1060"/>
    <n v="940"/>
    <s v="Kg"/>
    <s v="Digunakan Produksi"/>
  </r>
  <r>
    <d v="2025-12-28T00:00:00"/>
    <s v="AD003"/>
    <x v="13"/>
    <s v="Bahan Tambahan"/>
    <x v="5"/>
    <n v="0"/>
    <n v="170"/>
    <n v="1050"/>
    <n v="880"/>
    <s v="Kg"/>
    <s v="Digunakan Produksi"/>
  </r>
  <r>
    <d v="2025-12-28T00:00:00"/>
    <s v="FG002"/>
    <x v="16"/>
    <s v="Produk"/>
    <x v="5"/>
    <n v="0"/>
    <n v="900"/>
    <n v="4000"/>
    <n v="3100"/>
    <s v="Pcs"/>
    <s v="Distribusi ke Customer"/>
  </r>
  <r>
    <d v="2025-12-28T00:00:00"/>
    <s v="PK001"/>
    <x v="3"/>
    <s v="Kemasan"/>
    <x v="10"/>
    <n v="450"/>
    <n v="0"/>
    <n v="5320"/>
    <n v="5770"/>
    <s v="Pcs"/>
    <s v="Restock Kemasan"/>
  </r>
  <r>
    <d v="2025-12-28T00:00:00"/>
    <s v="PK002"/>
    <x v="4"/>
    <s v="Kemasan"/>
    <x v="12"/>
    <n v="1100"/>
    <n v="0"/>
    <n v="15900"/>
    <n v="17000"/>
    <s v="Pcs"/>
    <s v="Restock Kemasan"/>
  </r>
  <r>
    <d v="2025-12-28T00:00:00"/>
    <s v="PK004"/>
    <x v="8"/>
    <s v="Kemasan"/>
    <x v="25"/>
    <n v="0"/>
    <n v="600"/>
    <n v="15050"/>
    <n v="14450"/>
    <s v="Pcs"/>
    <s v="Digunakan Packaging"/>
  </r>
  <r>
    <d v="2025-12-28T00:00:00"/>
    <s v="RM003"/>
    <x v="17"/>
    <s v="Bahan Baku"/>
    <x v="0"/>
    <n v="280"/>
    <n v="0"/>
    <n v="1620"/>
    <n v="1900"/>
    <s v="Kg"/>
    <s v="Restock Bahan Baku"/>
  </r>
  <r>
    <d v="2025-12-29T00:00:00"/>
    <s v="AD004"/>
    <x v="14"/>
    <s v="Bahan Tambahan"/>
    <x v="27"/>
    <n v="0"/>
    <n v="160"/>
    <n v="570"/>
    <n v="410"/>
    <s v="Kg"/>
    <s v="Digunakan Produksi"/>
  </r>
  <r>
    <d v="2025-12-29T00:00:00"/>
    <s v="AD005"/>
    <x v="7"/>
    <s v="Bahan Tambahan"/>
    <x v="22"/>
    <n v="0"/>
    <n v="35"/>
    <n v="765"/>
    <n v="730"/>
    <s v="Kg"/>
    <s v="Digunakan Produksi"/>
  </r>
  <r>
    <d v="2025-12-29T00:00:00"/>
    <s v="PK005"/>
    <x v="18"/>
    <s v="Kemasan"/>
    <x v="30"/>
    <n v="0"/>
    <n v="400"/>
    <n v="2600"/>
    <n v="2200"/>
    <s v="Pcs"/>
    <s v="Digunakan Packaging"/>
  </r>
  <r>
    <d v="2025-12-30T00:00:00"/>
    <s v="FG005"/>
    <x v="2"/>
    <s v="Produk"/>
    <x v="5"/>
    <n v="550"/>
    <n v="0"/>
    <n v="3250"/>
    <n v="3800"/>
    <s v="Pcs"/>
    <s v="Hasil Produksi"/>
  </r>
  <r>
    <d v="2025-12-30T00:00:00"/>
    <s v="PK001"/>
    <x v="3"/>
    <s v="Kemasan"/>
    <x v="3"/>
    <n v="0"/>
    <n v="250"/>
    <n v="5770"/>
    <n v="5520"/>
    <s v="Pcs"/>
    <s v="Digunakan Packaging"/>
  </r>
  <r>
    <d v="2025-12-30T00:00:00"/>
    <s v="PK002"/>
    <x v="4"/>
    <s v="Kemasan"/>
    <x v="4"/>
    <n v="0"/>
    <n v="600"/>
    <n v="17000"/>
    <n v="16400"/>
    <s v="Pcs"/>
    <s v="Digunakan Packaging"/>
  </r>
  <r>
    <d v="2025-12-30T00:00:00"/>
    <s v="PK002"/>
    <x v="4"/>
    <s v="Kemasan"/>
    <x v="7"/>
    <n v="1200"/>
    <n v="0"/>
    <n v="16400"/>
    <n v="17600"/>
    <s v="Pcs"/>
    <s v="Restock Kemasan"/>
  </r>
  <r>
    <d v="2025-12-30T00:00:00"/>
    <s v="PK002"/>
    <x v="4"/>
    <s v="Kemasan"/>
    <x v="12"/>
    <n v="0"/>
    <n v="500"/>
    <n v="17600"/>
    <n v="17100"/>
    <s v="Pcs"/>
    <s v="Digunakan Packaging"/>
  </r>
  <r>
    <d v="2025-12-30T00:00:00"/>
    <s v="RM002"/>
    <x v="9"/>
    <s v="Bahan Baku"/>
    <x v="11"/>
    <n v="0"/>
    <n v="300"/>
    <n v="3100"/>
    <n v="2800"/>
    <s v="Kg"/>
    <s v="Digunakan Produksi"/>
  </r>
  <r>
    <d v="2025-12-31T00:00:00"/>
    <s v="RM003"/>
    <x v="17"/>
    <s v="Bahan Baku"/>
    <x v="0"/>
    <n v="0"/>
    <n v="260"/>
    <n v="1900"/>
    <n v="1640"/>
    <s v="Kg"/>
    <s v="Digunakan Produksi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x v="0"/>
    <s v="DO-001"/>
    <s v="FG003"/>
    <x v="0"/>
    <x v="0"/>
    <x v="0"/>
    <n v="400"/>
    <s v="Pcs"/>
    <x v="0"/>
    <s v="NA"/>
    <s v="NA"/>
    <s v="Delivered"/>
    <d v="2025-01-10T00:00:00"/>
    <n v="8"/>
    <x v="0"/>
  </r>
  <r>
    <x v="0"/>
    <s v="DO-002"/>
    <s v="FG004"/>
    <x v="1"/>
    <x v="1"/>
    <x v="1"/>
    <n v="400"/>
    <s v="Pcs"/>
    <x v="1"/>
    <s v="NA"/>
    <s v="AB7890IJ"/>
    <s v="Delivered"/>
    <d v="2025-01-03T00:00:00"/>
    <n v="1"/>
    <x v="0"/>
  </r>
  <r>
    <x v="0"/>
    <s v="DO-003"/>
    <s v="FG005"/>
    <x v="2"/>
    <x v="2"/>
    <x v="2"/>
    <n v="300"/>
    <s v="Pcs"/>
    <x v="1"/>
    <s v="NA"/>
    <s v="L1234AB"/>
    <s v="Delivered"/>
    <d v="2025-01-06T00:00:00"/>
    <n v="4"/>
    <x v="0"/>
  </r>
  <r>
    <x v="1"/>
    <s v="DO-004"/>
    <s v="FG003"/>
    <x v="0"/>
    <x v="3"/>
    <x v="3"/>
    <n v="500"/>
    <s v="Pcs"/>
    <x v="1"/>
    <s v="NA"/>
    <s v="L1234AB"/>
    <s v="Delivered"/>
    <d v="2025-01-08T00:00:00"/>
    <n v="3"/>
    <x v="0"/>
  </r>
  <r>
    <x v="1"/>
    <s v="DO-005"/>
    <s v="FG005"/>
    <x v="2"/>
    <x v="4"/>
    <x v="4"/>
    <n v="400"/>
    <s v="Pcs"/>
    <x v="2"/>
    <s v="NA"/>
    <s v="NA"/>
    <s v="Delivered"/>
    <d v="2025-01-13T00:00:00"/>
    <n v="8"/>
    <x v="0"/>
  </r>
  <r>
    <x v="2"/>
    <s v="DO-006"/>
    <s v="FG003"/>
    <x v="0"/>
    <x v="5"/>
    <x v="3"/>
    <n v="350"/>
    <s v="Pcs"/>
    <x v="1"/>
    <s v="NA"/>
    <s v="B9012EF"/>
    <s v="Delivered"/>
    <d v="2025-01-11T00:00:00"/>
    <n v="3"/>
    <x v="0"/>
  </r>
  <r>
    <x v="2"/>
    <s v="DO-007"/>
    <s v="FG005"/>
    <x v="2"/>
    <x v="6"/>
    <x v="5"/>
    <n v="350"/>
    <s v="Pcs"/>
    <x v="0"/>
    <s v="NA"/>
    <s v="NA"/>
    <s v="Delivered"/>
    <d v="2025-01-13T00:00:00"/>
    <n v="5"/>
    <x v="0"/>
  </r>
  <r>
    <x v="3"/>
    <s v="DO-008"/>
    <s v="FG003"/>
    <x v="0"/>
    <x v="7"/>
    <x v="6"/>
    <n v="400"/>
    <s v="Pcs"/>
    <x v="1"/>
    <s v="NA"/>
    <s v="S5678CD"/>
    <s v="Delivered"/>
    <d v="2025-01-16T00:00:00"/>
    <n v="5"/>
    <x v="1"/>
  </r>
  <r>
    <x v="4"/>
    <s v="DO-009"/>
    <s v="FG001"/>
    <x v="3"/>
    <x v="8"/>
    <x v="2"/>
    <n v="400"/>
    <s v="Pcs"/>
    <x v="1"/>
    <s v="NA"/>
    <s v="S5678CD"/>
    <s v="Cancel"/>
    <s v="NA"/>
    <s v="NA"/>
    <x v="1"/>
  </r>
  <r>
    <x v="4"/>
    <s v="DO-010"/>
    <s v="FG002"/>
    <x v="4"/>
    <x v="9"/>
    <x v="1"/>
    <n v="400"/>
    <s v="Pcs"/>
    <x v="1"/>
    <s v="NA"/>
    <s v="W3456GH"/>
    <s v="Delivered"/>
    <d v="2025-01-13T00:00:00"/>
    <n v="1"/>
    <x v="0"/>
  </r>
  <r>
    <x v="4"/>
    <s v="DO-011"/>
    <s v="FG005"/>
    <x v="2"/>
    <x v="10"/>
    <x v="1"/>
    <n v="450"/>
    <s v="Pcs"/>
    <x v="1"/>
    <s v="NA"/>
    <s v="B9012EF"/>
    <s v="Delivered"/>
    <d v="2025-01-13T00:00:00"/>
    <n v="1"/>
    <x v="0"/>
  </r>
  <r>
    <x v="5"/>
    <s v="DO-012"/>
    <s v="FG001"/>
    <x v="3"/>
    <x v="11"/>
    <x v="2"/>
    <n v="500"/>
    <s v="Pcs"/>
    <x v="1"/>
    <s v="NA"/>
    <s v="AB7890IJ"/>
    <s v="Delivered"/>
    <d v="2025-02-01T00:00:00"/>
    <n v="5"/>
    <x v="1"/>
  </r>
  <r>
    <x v="5"/>
    <s v="DO-013"/>
    <s v="FG002"/>
    <x v="4"/>
    <x v="12"/>
    <x v="5"/>
    <n v="350"/>
    <s v="Pcs"/>
    <x v="3"/>
    <s v="NA"/>
    <s v="NA"/>
    <s v="Delivered"/>
    <d v="2025-02-01T00:00:00"/>
    <n v="5"/>
    <x v="0"/>
  </r>
  <r>
    <x v="6"/>
    <s v="DO-014"/>
    <s v="FG004"/>
    <x v="1"/>
    <x v="13"/>
    <x v="3"/>
    <n v="500"/>
    <s v="Pcs"/>
    <x v="1"/>
    <s v="NA"/>
    <s v="B9012EF"/>
    <s v="Cancel"/>
    <s v="NA"/>
    <s v="NA"/>
    <x v="1"/>
  </r>
  <r>
    <x v="7"/>
    <s v="DO-015"/>
    <s v="FG001"/>
    <x v="3"/>
    <x v="14"/>
    <x v="4"/>
    <n v="400"/>
    <s v="Pcs"/>
    <x v="4"/>
    <s v="NA"/>
    <s v="NA"/>
    <s v="Delivered"/>
    <d v="2025-02-19T00:00:00"/>
    <n v="8"/>
    <x v="0"/>
  </r>
  <r>
    <x v="7"/>
    <s v="DO-016"/>
    <s v="FG002"/>
    <x v="4"/>
    <x v="15"/>
    <x v="3"/>
    <n v="500"/>
    <s v="Pcs"/>
    <x v="1"/>
    <s v="NA"/>
    <s v="L1234AB"/>
    <s v="Cancel"/>
    <s v="NA"/>
    <s v="NA"/>
    <x v="1"/>
  </r>
  <r>
    <x v="8"/>
    <s v="DO-017"/>
    <s v="FG003"/>
    <x v="0"/>
    <x v="16"/>
    <x v="2"/>
    <n v="450"/>
    <s v="Pcs"/>
    <x v="1"/>
    <s v="NA"/>
    <s v="L1234AB"/>
    <s v="Delivered"/>
    <d v="2025-02-18T00:00:00"/>
    <n v="4"/>
    <x v="0"/>
  </r>
  <r>
    <x v="9"/>
    <s v="DO-018"/>
    <s v="FG005"/>
    <x v="2"/>
    <x v="17"/>
    <x v="6"/>
    <n v="400"/>
    <s v="Pcs"/>
    <x v="1"/>
    <s v="NA"/>
    <s v="S5678CD"/>
    <s v="Delivered"/>
    <d v="2025-02-19T00:00:00"/>
    <n v="4"/>
    <x v="0"/>
  </r>
  <r>
    <x v="10"/>
    <s v="DO-019"/>
    <s v="FG003"/>
    <x v="0"/>
    <x v="18"/>
    <x v="7"/>
    <n v="500"/>
    <s v="Pcs"/>
    <x v="5"/>
    <s v="NA"/>
    <s v="NA"/>
    <s v="Delivered"/>
    <d v="2025-02-26T00:00:00"/>
    <n v="8"/>
    <x v="0"/>
  </r>
  <r>
    <x v="11"/>
    <s v="DO-020"/>
    <s v="FG003"/>
    <x v="0"/>
    <x v="19"/>
    <x v="1"/>
    <n v="450"/>
    <s v="Pcs"/>
    <x v="1"/>
    <s v="NA"/>
    <s v="B9012EF"/>
    <s v="Delivered"/>
    <d v="2025-02-21T00:00:00"/>
    <n v="1"/>
    <x v="0"/>
  </r>
  <r>
    <x v="12"/>
    <s v="DO-021"/>
    <s v="FG001"/>
    <x v="3"/>
    <x v="20"/>
    <x v="3"/>
    <n v="600"/>
    <s v="Pcs"/>
    <x v="1"/>
    <s v="NA"/>
    <s v="S5678CD"/>
    <s v="Delivered"/>
    <d v="2025-02-27T00:00:00"/>
    <n v="3"/>
    <x v="0"/>
  </r>
  <r>
    <x v="12"/>
    <s v="DO-022"/>
    <s v="FG002"/>
    <x v="4"/>
    <x v="21"/>
    <x v="4"/>
    <n v="400"/>
    <s v="Pcs"/>
    <x v="2"/>
    <s v="NA"/>
    <s v="NA"/>
    <s v="Delivered"/>
    <d v="2025-03-04T00:00:00"/>
    <n v="8"/>
    <x v="0"/>
  </r>
  <r>
    <x v="13"/>
    <s v="DO-023"/>
    <s v="FG001"/>
    <x v="3"/>
    <x v="22"/>
    <x v="3"/>
    <n v="500"/>
    <s v="Pcs"/>
    <x v="1"/>
    <s v="NA"/>
    <s v="W3456GH"/>
    <s v="Delivered"/>
    <d v="2025-03-14T00:00:00"/>
    <n v="5"/>
    <x v="1"/>
  </r>
  <r>
    <x v="14"/>
    <s v="DO-024"/>
    <s v="FG004"/>
    <x v="1"/>
    <x v="23"/>
    <x v="4"/>
    <n v="300"/>
    <s v="Pcs"/>
    <x v="5"/>
    <s v="NA"/>
    <s v="NA"/>
    <s v="Delivered"/>
    <d v="2025-03-20T00:00:00"/>
    <n v="8"/>
    <x v="0"/>
  </r>
  <r>
    <x v="15"/>
    <s v="DO-025"/>
    <s v="FG002"/>
    <x v="4"/>
    <x v="24"/>
    <x v="4"/>
    <n v="600"/>
    <s v="Pcs"/>
    <x v="4"/>
    <s v="NA"/>
    <s v="NA"/>
    <s v="Delivered"/>
    <d v="2025-03-22T00:00:00"/>
    <n v="8"/>
    <x v="0"/>
  </r>
  <r>
    <x v="16"/>
    <s v="DO-026"/>
    <s v="FG005"/>
    <x v="2"/>
    <x v="25"/>
    <x v="0"/>
    <n v="500"/>
    <s v="Pcs"/>
    <x v="5"/>
    <s v="NA"/>
    <s v="NA"/>
    <s v="Delivered"/>
    <d v="2025-03-28T00:00:00"/>
    <n v="10"/>
    <x v="1"/>
  </r>
  <r>
    <x v="17"/>
    <s v="DO-027"/>
    <s v="FG001"/>
    <x v="3"/>
    <x v="26"/>
    <x v="1"/>
    <n v="700"/>
    <s v="Pcs"/>
    <x v="1"/>
    <s v="NA"/>
    <s v="B9012EF"/>
    <s v="Cancel"/>
    <s v="NA"/>
    <s v="NA"/>
    <x v="1"/>
  </r>
  <r>
    <x v="17"/>
    <s v="DO-028"/>
    <s v="FG003"/>
    <x v="0"/>
    <x v="27"/>
    <x v="8"/>
    <n v="400"/>
    <s v="Pcs"/>
    <x v="4"/>
    <s v="NA"/>
    <s v="NA"/>
    <s v="Delivered"/>
    <d v="2025-04-06T00:00:00"/>
    <n v="14"/>
    <x v="0"/>
  </r>
  <r>
    <x v="18"/>
    <s v="DO-029"/>
    <s v="FG003"/>
    <x v="0"/>
    <x v="28"/>
    <x v="1"/>
    <n v="500"/>
    <s v="Pcs"/>
    <x v="1"/>
    <s v="NA"/>
    <s v="B9012EF"/>
    <s v="Delivered"/>
    <d v="2025-03-27T00:00:00"/>
    <n v="1"/>
    <x v="0"/>
  </r>
  <r>
    <x v="19"/>
    <s v="DO-030"/>
    <s v="FG003"/>
    <x v="0"/>
    <x v="29"/>
    <x v="3"/>
    <n v="550"/>
    <s v="Pcs"/>
    <x v="1"/>
    <s v="NA"/>
    <s v="AB7890IJ"/>
    <s v="Delivered"/>
    <d v="2025-04-01T00:00:00"/>
    <n v="3"/>
    <x v="0"/>
  </r>
  <r>
    <x v="20"/>
    <s v="DO-031"/>
    <s v="FG002"/>
    <x v="4"/>
    <x v="30"/>
    <x v="9"/>
    <n v="500"/>
    <s v="Pcs"/>
    <x v="1"/>
    <s v="NA"/>
    <s v="AB7890IJ"/>
    <s v="Cancel"/>
    <s v="NA"/>
    <s v="NA"/>
    <x v="1"/>
  </r>
  <r>
    <x v="21"/>
    <s v="DO-032"/>
    <s v="FG003"/>
    <x v="0"/>
    <x v="31"/>
    <x v="2"/>
    <n v="500"/>
    <s v="Pcs"/>
    <x v="1"/>
    <s v="NA"/>
    <s v="W3456GH"/>
    <s v="Delivered"/>
    <d v="2025-04-05T00:00:00"/>
    <n v="4"/>
    <x v="0"/>
  </r>
  <r>
    <x v="22"/>
    <s v="DO-033"/>
    <s v="FG003"/>
    <x v="0"/>
    <x v="32"/>
    <x v="2"/>
    <n v="550"/>
    <s v="Pcs"/>
    <x v="1"/>
    <s v="NA"/>
    <s v="B9012EF"/>
    <s v="Delivered"/>
    <d v="2025-04-08T00:00:00"/>
    <n v="4"/>
    <x v="0"/>
  </r>
  <r>
    <x v="23"/>
    <s v="DO-034"/>
    <s v="FG003"/>
    <x v="0"/>
    <x v="33"/>
    <x v="9"/>
    <n v="500"/>
    <s v="Pcs"/>
    <x v="1"/>
    <s v="NA"/>
    <s v="AB7890IJ"/>
    <s v="Delivered"/>
    <d v="2025-04-10T00:00:00"/>
    <n v="3"/>
    <x v="1"/>
  </r>
  <r>
    <x v="24"/>
    <s v="DO-035"/>
    <s v="FG002"/>
    <x v="4"/>
    <x v="34"/>
    <x v="2"/>
    <n v="450"/>
    <s v="Pcs"/>
    <x v="1"/>
    <s v="NA"/>
    <s v="S5678CD"/>
    <s v="Delivered"/>
    <d v="2025-04-13T00:00:00"/>
    <n v="4"/>
    <x v="0"/>
  </r>
  <r>
    <x v="25"/>
    <s v="DO-036"/>
    <s v="FG001"/>
    <x v="3"/>
    <x v="35"/>
    <x v="3"/>
    <n v="400"/>
    <s v="Pcs"/>
    <x v="1"/>
    <s v="NA"/>
    <s v="AB7890IJ"/>
    <s v="Delivered"/>
    <d v="2025-04-13T00:00:00"/>
    <n v="3"/>
    <x v="0"/>
  </r>
  <r>
    <x v="25"/>
    <s v="DO-037"/>
    <s v="FG003"/>
    <x v="0"/>
    <x v="36"/>
    <x v="3"/>
    <n v="550"/>
    <s v="Pcs"/>
    <x v="1"/>
    <s v="NA"/>
    <s v="W3456GH"/>
    <s v="Delivered"/>
    <d v="2025-04-13T00:00:00"/>
    <n v="3"/>
    <x v="0"/>
  </r>
  <r>
    <x v="26"/>
    <s v="DO-038"/>
    <s v="FG003"/>
    <x v="0"/>
    <x v="37"/>
    <x v="3"/>
    <n v="600"/>
    <s v="Pcs"/>
    <x v="1"/>
    <s v="NA"/>
    <s v="S5678CD"/>
    <s v="Delivered"/>
    <d v="2025-04-16T00:00:00"/>
    <n v="3"/>
    <x v="0"/>
  </r>
  <r>
    <x v="27"/>
    <s v="DO-039"/>
    <s v="FG004"/>
    <x v="1"/>
    <x v="38"/>
    <x v="7"/>
    <n v="400"/>
    <s v="Pcs"/>
    <x v="2"/>
    <s v="NA"/>
    <s v="NA"/>
    <s v="Delivered"/>
    <d v="2025-04-25T00:00:00"/>
    <n v="8"/>
    <x v="0"/>
  </r>
  <r>
    <x v="28"/>
    <s v="DO-040"/>
    <s v="FG005"/>
    <x v="2"/>
    <x v="39"/>
    <x v="4"/>
    <n v="450"/>
    <s v="Pcs"/>
    <x v="2"/>
    <s v="NA"/>
    <s v="NA"/>
    <s v="Cancel"/>
    <s v="NA"/>
    <s v="NA"/>
    <x v="1"/>
  </r>
  <r>
    <x v="29"/>
    <s v="DO-041"/>
    <s v="FG005"/>
    <x v="2"/>
    <x v="40"/>
    <x v="7"/>
    <n v="400"/>
    <s v="Pcs"/>
    <x v="4"/>
    <s v="NA"/>
    <s v="NA"/>
    <s v="Cancel"/>
    <s v="NA"/>
    <s v="NA"/>
    <x v="1"/>
  </r>
  <r>
    <x v="30"/>
    <s v="DO-042"/>
    <s v="FG001"/>
    <x v="3"/>
    <x v="41"/>
    <x v="2"/>
    <n v="500"/>
    <s v="Pcs"/>
    <x v="1"/>
    <s v="NA"/>
    <s v="B9012EF"/>
    <s v="Delivered"/>
    <d v="2025-05-02T00:00:00"/>
    <n v="4"/>
    <x v="0"/>
  </r>
  <r>
    <x v="30"/>
    <s v="DO-043"/>
    <s v="FG002"/>
    <x v="4"/>
    <x v="42"/>
    <x v="1"/>
    <n v="400"/>
    <s v="Pcs"/>
    <x v="1"/>
    <s v="NA"/>
    <s v="L1234AB"/>
    <s v="Delivered"/>
    <d v="2025-04-29T00:00:00"/>
    <n v="1"/>
    <x v="0"/>
  </r>
  <r>
    <x v="31"/>
    <s v="DO-044"/>
    <s v="FG001"/>
    <x v="3"/>
    <x v="43"/>
    <x v="0"/>
    <n v="600"/>
    <s v="Pcs"/>
    <x v="2"/>
    <s v="NA"/>
    <s v="NA"/>
    <s v="Delivered"/>
    <d v="2025-05-21T00:00:00"/>
    <n v="8"/>
    <x v="0"/>
  </r>
  <r>
    <x v="31"/>
    <s v="DO-045"/>
    <s v="FG002"/>
    <x v="4"/>
    <x v="44"/>
    <x v="3"/>
    <n v="600"/>
    <s v="Pcs"/>
    <x v="1"/>
    <s v="NA"/>
    <s v="B9012EF"/>
    <s v="Delivered"/>
    <d v="2025-05-16T00:00:00"/>
    <n v="3"/>
    <x v="0"/>
  </r>
  <r>
    <x v="32"/>
    <s v="DO-046"/>
    <s v="FG003"/>
    <x v="0"/>
    <x v="45"/>
    <x v="5"/>
    <n v="650"/>
    <s v="Pcs"/>
    <x v="4"/>
    <s v="NA"/>
    <s v="NA"/>
    <s v="Delivered"/>
    <d v="2025-05-21T00:00:00"/>
    <n v="5"/>
    <x v="0"/>
  </r>
  <r>
    <x v="33"/>
    <s v="DO-047"/>
    <s v="FG003"/>
    <x v="0"/>
    <x v="46"/>
    <x v="9"/>
    <n v="550"/>
    <s v="Pcs"/>
    <x v="1"/>
    <s v="NA"/>
    <s v="AB7890IJ"/>
    <s v="Cancel"/>
    <s v="NA"/>
    <s v="NA"/>
    <x v="1"/>
  </r>
  <r>
    <x v="34"/>
    <s v="DO-048"/>
    <s v="FG004"/>
    <x v="1"/>
    <x v="47"/>
    <x v="3"/>
    <n v="350"/>
    <s v="Pcs"/>
    <x v="1"/>
    <s v="NA"/>
    <s v="W3456GH"/>
    <s v="Delivered"/>
    <d v="2025-05-23T00:00:00"/>
    <n v="3"/>
    <x v="0"/>
  </r>
  <r>
    <x v="35"/>
    <s v="DO-049"/>
    <s v="FG003"/>
    <x v="0"/>
    <x v="48"/>
    <x v="6"/>
    <n v="600"/>
    <s v="Pcs"/>
    <x v="1"/>
    <s v="NA"/>
    <s v="AB7890IJ"/>
    <s v="Delivered"/>
    <d v="2025-05-27T00:00:00"/>
    <n v="6"/>
    <x v="1"/>
  </r>
  <r>
    <x v="36"/>
    <s v="DO-050"/>
    <s v="FG005"/>
    <x v="2"/>
    <x v="49"/>
    <x v="3"/>
    <n v="500"/>
    <s v="Pcs"/>
    <x v="1"/>
    <s v="NA"/>
    <s v="AB7890IJ"/>
    <s v="Delivered"/>
    <d v="2025-05-30T00:00:00"/>
    <n v="3"/>
    <x v="0"/>
  </r>
  <r>
    <x v="37"/>
    <s v="DO-051"/>
    <s v="FG002"/>
    <x v="4"/>
    <x v="50"/>
    <x v="3"/>
    <n v="500"/>
    <s v="Pcs"/>
    <x v="1"/>
    <s v="NA"/>
    <s v="B9012EF"/>
    <s v="Delivered"/>
    <d v="2025-06-01T00:00:00"/>
    <n v="3"/>
    <x v="0"/>
  </r>
  <r>
    <x v="38"/>
    <s v="DO-052"/>
    <s v="FG001"/>
    <x v="3"/>
    <x v="51"/>
    <x v="3"/>
    <n v="700"/>
    <s v="Pcs"/>
    <x v="1"/>
    <s v="NA"/>
    <s v="S5678CD"/>
    <s v="Delivered"/>
    <d v="2025-06-02T00:00:00"/>
    <n v="3"/>
    <x v="0"/>
  </r>
  <r>
    <x v="39"/>
    <s v="DO-053"/>
    <s v="FG002"/>
    <x v="4"/>
    <x v="52"/>
    <x v="4"/>
    <n v="700"/>
    <s v="Pcs"/>
    <x v="5"/>
    <s v="NA"/>
    <s v="NA"/>
    <s v="Delivered"/>
    <d v="2025-06-20T00:00:00"/>
    <n v="8"/>
    <x v="0"/>
  </r>
  <r>
    <x v="40"/>
    <s v="DO-054"/>
    <s v="FG001"/>
    <x v="3"/>
    <x v="53"/>
    <x v="1"/>
    <n v="500"/>
    <s v="Pcs"/>
    <x v="1"/>
    <s v="NA"/>
    <s v="S5678CD"/>
    <s v="Delivered"/>
    <d v="2025-06-15T00:00:00"/>
    <n v="1"/>
    <x v="0"/>
  </r>
  <r>
    <x v="41"/>
    <s v="DO-055"/>
    <s v="FG003"/>
    <x v="0"/>
    <x v="54"/>
    <x v="7"/>
    <n v="650"/>
    <s v="Pcs"/>
    <x v="3"/>
    <s v="NA"/>
    <s v="NA"/>
    <s v="Delivered"/>
    <d v="2025-07-02T00:00:00"/>
    <n v="8"/>
    <x v="0"/>
  </r>
  <r>
    <x v="42"/>
    <s v="DO-056"/>
    <s v="FG004"/>
    <x v="1"/>
    <x v="55"/>
    <x v="3"/>
    <n v="450"/>
    <s v="Pcs"/>
    <x v="1"/>
    <s v="NA"/>
    <s v="AB7890IJ"/>
    <s v="Delivered"/>
    <d v="2025-06-28T00:00:00"/>
    <n v="3"/>
    <x v="0"/>
  </r>
  <r>
    <x v="43"/>
    <s v="DO-057"/>
    <s v="FG003"/>
    <x v="0"/>
    <x v="56"/>
    <x v="2"/>
    <n v="550"/>
    <s v="Pcs"/>
    <x v="1"/>
    <s v="NA"/>
    <s v="L1234AB"/>
    <s v="Delivered"/>
    <d v="2025-06-30T00:00:00"/>
    <n v="4"/>
    <x v="0"/>
  </r>
  <r>
    <x v="44"/>
    <s v="DO-058"/>
    <s v="FG002"/>
    <x v="4"/>
    <x v="57"/>
    <x v="7"/>
    <n v="600"/>
    <s v="Pcs"/>
    <x v="2"/>
    <s v="NA"/>
    <s v="NA"/>
    <s v="Delivered"/>
    <d v="2025-07-05T00:00:00"/>
    <n v="8"/>
    <x v="0"/>
  </r>
  <r>
    <x v="45"/>
    <s v="DO-059"/>
    <s v="FG001"/>
    <x v="3"/>
    <x v="58"/>
    <x v="5"/>
    <n v="600"/>
    <s v="Pcs"/>
    <x v="2"/>
    <s v="NA"/>
    <s v="NA"/>
    <s v="Cancel"/>
    <s v="NA"/>
    <s v="NA"/>
    <x v="1"/>
  </r>
  <r>
    <x v="45"/>
    <s v="DO-060"/>
    <s v="FG003"/>
    <x v="0"/>
    <x v="59"/>
    <x v="2"/>
    <n v="600"/>
    <s v="Pcs"/>
    <x v="1"/>
    <s v="NA"/>
    <s v="B9012EF"/>
    <s v="Cancel"/>
    <s v="NA"/>
    <s v="NA"/>
    <x v="1"/>
  </r>
  <r>
    <x v="46"/>
    <s v="DO-061"/>
    <s v="FG005"/>
    <x v="2"/>
    <x v="60"/>
    <x v="3"/>
    <n v="450"/>
    <s v="Pcs"/>
    <x v="1"/>
    <s v="NA"/>
    <s v="S5678CD"/>
    <s v="Delivered"/>
    <d v="2025-07-04T00:00:00"/>
    <n v="4"/>
    <x v="1"/>
  </r>
  <r>
    <x v="47"/>
    <s v="DO-062"/>
    <s v="FG003"/>
    <x v="0"/>
    <x v="61"/>
    <x v="4"/>
    <n v="650"/>
    <s v="Pcs"/>
    <x v="2"/>
    <s v="NA"/>
    <s v="NA"/>
    <s v="Delivered"/>
    <d v="2025-07-10T00:00:00"/>
    <n v="8"/>
    <x v="0"/>
  </r>
  <r>
    <x v="47"/>
    <s v="DO-063"/>
    <s v="FG005"/>
    <x v="2"/>
    <x v="62"/>
    <x v="9"/>
    <n v="500"/>
    <s v="Pcs"/>
    <x v="1"/>
    <s v="NA"/>
    <s v="W3456GH"/>
    <s v="Delivered"/>
    <d v="2025-07-04T00:00:00"/>
    <n v="2"/>
    <x v="0"/>
  </r>
  <r>
    <x v="48"/>
    <s v="DO-064"/>
    <s v="FG003"/>
    <x v="0"/>
    <x v="63"/>
    <x v="7"/>
    <n v="550"/>
    <s v="Pcs"/>
    <x v="2"/>
    <s v="NA"/>
    <s v="NA"/>
    <s v="Delivered"/>
    <d v="2025-07-15T00:00:00"/>
    <n v="10"/>
    <x v="1"/>
  </r>
  <r>
    <x v="49"/>
    <s v="DO-065"/>
    <s v="FG005"/>
    <x v="2"/>
    <x v="64"/>
    <x v="0"/>
    <n v="450"/>
    <s v="Pcs"/>
    <x v="4"/>
    <s v="NA"/>
    <s v="NA"/>
    <s v="Delivered"/>
    <d v="2025-07-15T00:00:00"/>
    <n v="9"/>
    <x v="1"/>
  </r>
  <r>
    <x v="50"/>
    <s v="DO-066"/>
    <s v="FG002"/>
    <x v="4"/>
    <x v="65"/>
    <x v="1"/>
    <n v="500"/>
    <s v="Pcs"/>
    <x v="1"/>
    <s v="NA"/>
    <s v="L1234AB"/>
    <s v="Delivered"/>
    <d v="2025-07-11T00:00:00"/>
    <n v="1"/>
    <x v="0"/>
  </r>
  <r>
    <x v="51"/>
    <s v="DO-067"/>
    <s v="FG001"/>
    <x v="3"/>
    <x v="66"/>
    <x v="4"/>
    <n v="700"/>
    <s v="Pcs"/>
    <x v="4"/>
    <s v="NA"/>
    <s v="NA"/>
    <s v="Delivered"/>
    <d v="2025-07-20T00:00:00"/>
    <n v="8"/>
    <x v="0"/>
  </r>
  <r>
    <x v="52"/>
    <s v="DO-068"/>
    <s v="FG002"/>
    <x v="4"/>
    <x v="67"/>
    <x v="8"/>
    <n v="600"/>
    <s v="Pcs"/>
    <x v="5"/>
    <s v="NA"/>
    <s v="NA"/>
    <s v="Delivered"/>
    <d v="2025-08-15T00:00:00"/>
    <n v="20"/>
    <x v="1"/>
  </r>
  <r>
    <x v="53"/>
    <s v="DO-069"/>
    <s v="FG001"/>
    <x v="3"/>
    <x v="68"/>
    <x v="2"/>
    <n v="500"/>
    <s v="Pcs"/>
    <x v="1"/>
    <s v="NA"/>
    <s v="W3456GH"/>
    <s v="Delivered"/>
    <d v="2025-08-01T00:00:00"/>
    <n v="4"/>
    <x v="0"/>
  </r>
  <r>
    <x v="53"/>
    <s v="DO-070"/>
    <s v="FG004"/>
    <x v="1"/>
    <x v="69"/>
    <x v="4"/>
    <n v="300"/>
    <s v="Pcs"/>
    <x v="4"/>
    <s v="NA"/>
    <s v="NA"/>
    <s v="Delivered"/>
    <d v="2025-08-05T00:00:00"/>
    <n v="8"/>
    <x v="0"/>
  </r>
  <r>
    <x v="54"/>
    <s v="DO-071"/>
    <s v="FG003"/>
    <x v="0"/>
    <x v="70"/>
    <x v="3"/>
    <n v="600"/>
    <s v="Pcs"/>
    <x v="1"/>
    <s v="NA"/>
    <s v="B9012EF"/>
    <s v="Delivered"/>
    <d v="2025-08-12T00:00:00"/>
    <n v="3"/>
    <x v="0"/>
  </r>
  <r>
    <x v="55"/>
    <s v="DO-072"/>
    <s v="FG005"/>
    <x v="2"/>
    <x v="71"/>
    <x v="8"/>
    <n v="500"/>
    <s v="Pcs"/>
    <x v="0"/>
    <s v="NA"/>
    <s v="NA"/>
    <s v="Delivered"/>
    <d v="2025-08-24T00:00:00"/>
    <n v="14"/>
    <x v="0"/>
  </r>
  <r>
    <x v="56"/>
    <s v="DO-073"/>
    <s v="FG001"/>
    <x v="3"/>
    <x v="72"/>
    <x v="9"/>
    <n v="600"/>
    <s v="Pcs"/>
    <x v="1"/>
    <s v="NA"/>
    <s v="L1234AB"/>
    <s v="Delivered"/>
    <d v="2025-08-13T00:00:00"/>
    <n v="2"/>
    <x v="0"/>
  </r>
  <r>
    <x v="57"/>
    <s v="DO-074"/>
    <s v="FG002"/>
    <x v="4"/>
    <x v="73"/>
    <x v="1"/>
    <n v="700"/>
    <s v="Pcs"/>
    <x v="1"/>
    <s v="NA"/>
    <s v="L1234AB"/>
    <s v="Delivered"/>
    <d v="2025-08-13T00:00:00"/>
    <n v="1"/>
    <x v="0"/>
  </r>
  <r>
    <x v="58"/>
    <s v="DO-075"/>
    <s v="FG001"/>
    <x v="3"/>
    <x v="74"/>
    <x v="7"/>
    <n v="700"/>
    <s v="Pcs"/>
    <x v="5"/>
    <s v="NA"/>
    <s v="NA"/>
    <s v="Cancel"/>
    <s v="NA"/>
    <s v="NA"/>
    <x v="1"/>
  </r>
  <r>
    <x v="59"/>
    <s v="DO-076"/>
    <s v="FG002"/>
    <x v="4"/>
    <x v="75"/>
    <x v="2"/>
    <n v="800"/>
    <s v="Pcs"/>
    <x v="1"/>
    <s v="NA"/>
    <s v="AB7890IJ"/>
    <s v="Delivered"/>
    <d v="2025-09-01T00:00:00"/>
    <n v="4"/>
    <x v="0"/>
  </r>
  <r>
    <x v="60"/>
    <s v="DO-077"/>
    <s v="FG004"/>
    <x v="1"/>
    <x v="76"/>
    <x v="2"/>
    <n v="450"/>
    <s v="Pcs"/>
    <x v="1"/>
    <s v="NA"/>
    <s v="B9012EF"/>
    <s v="Delivered"/>
    <d v="2025-09-05T00:00:00"/>
    <n v="4"/>
    <x v="0"/>
  </r>
  <r>
    <x v="61"/>
    <s v="DO-078"/>
    <s v="FG001"/>
    <x v="3"/>
    <x v="77"/>
    <x v="3"/>
    <n v="500"/>
    <s v="Pcs"/>
    <x v="1"/>
    <s v="NA"/>
    <s v="S5678CD"/>
    <s v="Delivered"/>
    <d v="2025-09-13T00:00:00"/>
    <n v="3"/>
    <x v="0"/>
  </r>
  <r>
    <x v="62"/>
    <s v="DO-079"/>
    <s v="FG005"/>
    <x v="2"/>
    <x v="78"/>
    <x v="7"/>
    <n v="450"/>
    <s v="Pcs"/>
    <x v="4"/>
    <s v="NA"/>
    <s v="NA"/>
    <s v="Delivered"/>
    <d v="2025-09-21T00:00:00"/>
    <n v="8"/>
    <x v="0"/>
  </r>
  <r>
    <x v="63"/>
    <s v="DO-080"/>
    <s v="FG002"/>
    <x v="4"/>
    <x v="79"/>
    <x v="2"/>
    <n v="700"/>
    <s v="Pcs"/>
    <x v="1"/>
    <s v="NA"/>
    <s v="W3456GH"/>
    <s v="Cancel"/>
    <s v="NA"/>
    <s v="NA"/>
    <x v="1"/>
  </r>
  <r>
    <x v="64"/>
    <s v="DO-081"/>
    <s v="FG005"/>
    <x v="2"/>
    <x v="80"/>
    <x v="1"/>
    <n v="500"/>
    <s v="Pcs"/>
    <x v="1"/>
    <s v="NA"/>
    <s v="W3456GH"/>
    <s v="Delivered"/>
    <d v="2025-09-17T00:00:00"/>
    <n v="1"/>
    <x v="0"/>
  </r>
  <r>
    <x v="65"/>
    <s v="DO-082"/>
    <s v="FG001"/>
    <x v="3"/>
    <x v="81"/>
    <x v="2"/>
    <n v="600"/>
    <s v="Pcs"/>
    <x v="1"/>
    <s v="NA"/>
    <s v="AB7890IJ"/>
    <s v="Delivered"/>
    <d v="2025-09-29T00:00:00"/>
    <n v="4"/>
    <x v="0"/>
  </r>
  <r>
    <x v="66"/>
    <s v="DO-083"/>
    <s v="FG002"/>
    <x v="4"/>
    <x v="82"/>
    <x v="2"/>
    <n v="600"/>
    <s v="Pcs"/>
    <x v="1"/>
    <s v="NA"/>
    <s v="L1234AB"/>
    <s v="Cancel"/>
    <s v="NA"/>
    <s v="NA"/>
    <x v="1"/>
  </r>
  <r>
    <x v="67"/>
    <s v="DO-084"/>
    <s v="FG001"/>
    <x v="3"/>
    <x v="83"/>
    <x v="6"/>
    <n v="700"/>
    <s v="Pcs"/>
    <x v="1"/>
    <s v="NA"/>
    <s v="W3456GH"/>
    <s v="Delivered"/>
    <d v="2025-10-13T00:00:00"/>
    <n v="4"/>
    <x v="0"/>
  </r>
  <r>
    <x v="68"/>
    <s v="DO-085"/>
    <s v="FG002"/>
    <x v="4"/>
    <x v="84"/>
    <x v="4"/>
    <n v="800"/>
    <s v="Pcs"/>
    <x v="5"/>
    <s v="NA"/>
    <s v="NA"/>
    <s v="Delivered"/>
    <d v="2025-10-20T00:00:00"/>
    <n v="9"/>
    <x v="1"/>
  </r>
  <r>
    <x v="69"/>
    <s v="DO-086"/>
    <s v="FG005"/>
    <x v="2"/>
    <x v="85"/>
    <x v="0"/>
    <n v="450"/>
    <s v="Pcs"/>
    <x v="5"/>
    <s v="NA"/>
    <s v="NA"/>
    <s v="Cancel"/>
    <s v="NA"/>
    <s v="NA"/>
    <x v="1"/>
  </r>
  <r>
    <x v="70"/>
    <s v="DO-087"/>
    <s v="FG005"/>
    <x v="2"/>
    <x v="86"/>
    <x v="5"/>
    <n v="500"/>
    <s v="Pcs"/>
    <x v="5"/>
    <s v="NA"/>
    <s v="NA"/>
    <s v="Delivered"/>
    <d v="2025-10-30T00:00:00"/>
    <n v="7"/>
    <x v="1"/>
  </r>
  <r>
    <x v="71"/>
    <s v="DO-088"/>
    <s v="FG001"/>
    <x v="3"/>
    <x v="87"/>
    <x v="2"/>
    <n v="500"/>
    <s v="Pcs"/>
    <x v="1"/>
    <s v="NA"/>
    <s v="L1234AB"/>
    <s v="Cancel"/>
    <s v="NA"/>
    <s v="NA"/>
    <x v="1"/>
  </r>
  <r>
    <x v="72"/>
    <s v="DO-089"/>
    <s v="FG002"/>
    <x v="4"/>
    <x v="88"/>
    <x v="3"/>
    <n v="900"/>
    <s v="Pcs"/>
    <x v="1"/>
    <s v="NA"/>
    <s v="AB7890IJ"/>
    <s v="Cancel"/>
    <s v="NA"/>
    <s v="NA"/>
    <x v="1"/>
  </r>
  <r>
    <x v="73"/>
    <s v="DO-090"/>
    <s v="FG004"/>
    <x v="1"/>
    <x v="89"/>
    <x v="3"/>
    <n v="350"/>
    <s v="Pcs"/>
    <x v="1"/>
    <s v="NA"/>
    <s v="S5678CD"/>
    <s v="Delivered"/>
    <d v="2025-11-06T00:00:00"/>
    <n v="3"/>
    <x v="0"/>
  </r>
  <r>
    <x v="74"/>
    <s v="DO-091"/>
    <s v="FG001"/>
    <x v="3"/>
    <x v="90"/>
    <x v="9"/>
    <n v="600"/>
    <s v="Pcs"/>
    <x v="1"/>
    <s v="NA"/>
    <s v="B9012EF"/>
    <s v="Delivered"/>
    <d v="2025-11-14T00:00:00"/>
    <n v="2"/>
    <x v="0"/>
  </r>
  <r>
    <x v="74"/>
    <s v="DO-092"/>
    <s v="FG002"/>
    <x v="4"/>
    <x v="91"/>
    <x v="2"/>
    <n v="600"/>
    <s v="Pcs"/>
    <x v="1"/>
    <s v="NA"/>
    <s v="AB7890IJ"/>
    <s v="Delivered"/>
    <d v="2025-11-16T00:00:00"/>
    <n v="4"/>
    <x v="0"/>
  </r>
  <r>
    <x v="75"/>
    <s v="DO-093"/>
    <s v="FG005"/>
    <x v="2"/>
    <x v="92"/>
    <x v="3"/>
    <n v="450"/>
    <s v="Pcs"/>
    <x v="1"/>
    <s v="NA"/>
    <s v="S5678CD"/>
    <s v="Delivered"/>
    <d v="2025-11-29T00:00:00"/>
    <n v="3"/>
    <x v="0"/>
  </r>
  <r>
    <x v="76"/>
    <s v="DO-094"/>
    <s v="FG001"/>
    <x v="3"/>
    <x v="93"/>
    <x v="2"/>
    <n v="700"/>
    <s v="Pcs"/>
    <x v="1"/>
    <s v="NA"/>
    <s v="B9012EF"/>
    <s v="Delivered"/>
    <d v="2025-12-05T00:00:00"/>
    <n v="7"/>
    <x v="1"/>
  </r>
  <r>
    <x v="77"/>
    <s v="DO-095"/>
    <s v="FG002"/>
    <x v="4"/>
    <x v="94"/>
    <x v="4"/>
    <n v="700"/>
    <s v="Pcs"/>
    <x v="3"/>
    <s v="NA"/>
    <s v="NA"/>
    <s v="Cancel"/>
    <s v="NA"/>
    <s v="NA"/>
    <x v="1"/>
  </r>
  <r>
    <x v="77"/>
    <s v="DO-096"/>
    <s v="FG005"/>
    <x v="2"/>
    <x v="95"/>
    <x v="7"/>
    <n v="500"/>
    <s v="Pcs"/>
    <x v="3"/>
    <s v="NA"/>
    <s v="NA"/>
    <s v="Delivered"/>
    <d v="2025-12-07T00:00:00"/>
    <n v="8"/>
    <x v="0"/>
  </r>
  <r>
    <x v="78"/>
    <s v="DO-097"/>
    <s v="FG005"/>
    <x v="2"/>
    <x v="96"/>
    <x v="7"/>
    <n v="450"/>
    <s v="Pcs"/>
    <x v="2"/>
    <s v="NA"/>
    <s v="NA"/>
    <s v="Delivered"/>
    <d v="2025-12-09T00:00:00"/>
    <n v="8"/>
    <x v="0"/>
  </r>
  <r>
    <x v="79"/>
    <s v="DO-098"/>
    <s v="FG005"/>
    <x v="2"/>
    <x v="97"/>
    <x v="7"/>
    <n v="500"/>
    <s v="Pcs"/>
    <x v="3"/>
    <s v="NA"/>
    <s v="NA"/>
    <s v="Delivered"/>
    <d v="2025-12-13T00:00:00"/>
    <n v="8"/>
    <x v="0"/>
  </r>
  <r>
    <x v="80"/>
    <s v="DO-099"/>
    <s v="FG004"/>
    <x v="1"/>
    <x v="98"/>
    <x v="2"/>
    <n v="400"/>
    <s v="Pcs"/>
    <x v="1"/>
    <s v="NA"/>
    <s v="AB7890IJ"/>
    <s v="Pending"/>
    <s v="NA"/>
    <s v="NA"/>
    <x v="1"/>
  </r>
  <r>
    <x v="80"/>
    <s v="DO-100"/>
    <s v="FG005"/>
    <x v="2"/>
    <x v="99"/>
    <x v="3"/>
    <n v="450"/>
    <s v="Pcs"/>
    <x v="1"/>
    <s v="NA"/>
    <s v="B9012EF"/>
    <s v="Delivered"/>
    <d v="2025-12-11T00:00:00"/>
    <n v="3"/>
    <x v="0"/>
  </r>
  <r>
    <x v="81"/>
    <s v="DO-101"/>
    <s v="FG001"/>
    <x v="3"/>
    <x v="94"/>
    <x v="4"/>
    <n v="500"/>
    <s v="Pcs"/>
    <x v="3"/>
    <s v="NA"/>
    <s v="NA"/>
    <s v="Cancel"/>
    <s v="NA"/>
    <s v="NA"/>
    <x v="1"/>
  </r>
  <r>
    <x v="81"/>
    <s v="DO-102"/>
    <s v="FG002"/>
    <x v="4"/>
    <x v="95"/>
    <x v="7"/>
    <n v="800"/>
    <s v="Pcs"/>
    <x v="3"/>
    <s v="NA"/>
    <s v="NA"/>
    <s v="Delivered"/>
    <d v="2025-12-22T00:00:00"/>
    <n v="11"/>
    <x v="1"/>
  </r>
  <r>
    <x v="82"/>
    <s v="DO-103"/>
    <s v="FG005"/>
    <x v="2"/>
    <x v="96"/>
    <x v="7"/>
    <n v="500"/>
    <s v="Pcs"/>
    <x v="2"/>
    <s v="NA"/>
    <s v="NA"/>
    <s v="Delivered"/>
    <d v="2025-12-20T00:00:00"/>
    <n v="8"/>
    <x v="0"/>
  </r>
  <r>
    <x v="83"/>
    <s v="DO-104"/>
    <s v="FG005"/>
    <x v="2"/>
    <x v="97"/>
    <x v="7"/>
    <n v="450"/>
    <s v="Pcs"/>
    <x v="3"/>
    <s v="NA"/>
    <s v="NA"/>
    <s v="Delivered"/>
    <d v="2025-12-23T00:00:00"/>
    <n v="8"/>
    <x v="0"/>
  </r>
  <r>
    <x v="84"/>
    <s v="DO-105"/>
    <s v="FG001"/>
    <x v="3"/>
    <x v="98"/>
    <x v="2"/>
    <n v="600"/>
    <s v="Pcs"/>
    <x v="1"/>
    <s v="NA"/>
    <s v="NA"/>
    <s v="Pending"/>
    <s v="NA"/>
    <s v="NA"/>
    <x v="1"/>
  </r>
  <r>
    <x v="85"/>
    <s v="DO-106"/>
    <s v="FG002"/>
    <x v="4"/>
    <x v="99"/>
    <x v="3"/>
    <n v="900"/>
    <s v="Pcs"/>
    <x v="1"/>
    <s v="NA"/>
    <s v="NA"/>
    <s v="Delivered"/>
    <d v="2025-12-31T00:00:00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1DF69-C1D4-4D22-BC21-7AE7DD424FA5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Q2:W16" firstHeaderRow="1" firstDataRow="2" firstDataCol="1"/>
  <pivotFields count="17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showAll="0"/>
    <pivotField showAll="0"/>
    <pivotField axis="axisCol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Barang Keluar" fld="6" baseField="0" baseItem="0"/>
  </dataFields>
  <formats count="34">
    <format dxfId="57">
      <pivotArea type="origin" dataOnly="0" labelOnly="1" outline="0" fieldPosition="0"/>
    </format>
    <format dxfId="56">
      <pivotArea field="3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16" type="button" dataOnly="0" labelOnly="1" outline="0" axis="axisRow" fieldPosition="0"/>
    </format>
    <format dxfId="53">
      <pivotArea dataOnly="0" labelOnly="1" fieldPosition="0">
        <references count="1">
          <reference field="3" count="0"/>
        </references>
      </pivotArea>
    </format>
    <format dxfId="52">
      <pivotArea dataOnly="0" labelOnly="1" grandCol="1" outline="0" fieldPosition="0"/>
    </format>
    <format dxfId="51">
      <pivotArea type="origin" dataOnly="0" labelOnly="1" outline="0" fieldPosition="0"/>
    </format>
    <format dxfId="50">
      <pivotArea field="3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16" type="button" dataOnly="0" labelOnly="1" outline="0" axis="axisRow" fieldPosition="0"/>
    </format>
    <format dxfId="47">
      <pivotArea dataOnly="0" labelOnly="1" fieldPosition="0">
        <references count="1">
          <reference field="3" count="0"/>
        </references>
      </pivotArea>
    </format>
    <format dxfId="46">
      <pivotArea dataOnly="0" labelOnly="1" grandCol="1" outline="0" fieldPosition="0"/>
    </format>
    <format dxfId="45">
      <pivotArea type="origin" dataOnly="0" labelOnly="1" outline="0" fieldPosition="0"/>
    </format>
    <format dxfId="44">
      <pivotArea field="3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16" type="button" dataOnly="0" labelOnly="1" outline="0" axis="axisRow" fieldPosition="0"/>
    </format>
    <format dxfId="41">
      <pivotArea dataOnly="0" labelOnly="1" fieldPosition="0">
        <references count="1">
          <reference field="3" count="0"/>
        </references>
      </pivotArea>
    </format>
    <format dxfId="40">
      <pivotArea dataOnly="0" labelOnly="1" grandCol="1" outline="0" fieldPosition="0"/>
    </format>
    <format dxfId="39">
      <pivotArea type="origin" dataOnly="0" labelOnly="1" outline="0" fieldPosition="0"/>
    </format>
    <format dxfId="38">
      <pivotArea field="3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16" type="button" dataOnly="0" labelOnly="1" outline="0" axis="axisRow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Col="1" outline="0" fieldPosition="0"/>
    </format>
    <format dxfId="33">
      <pivotArea type="origin" dataOnly="0" labelOnly="1" outline="0" fieldPosition="0"/>
    </format>
    <format dxfId="32">
      <pivotArea field="3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16" type="button" dataOnly="0" labelOnly="1" outline="0" axis="axisRow" fieldPosition="0"/>
    </format>
    <format dxfId="29">
      <pivotArea dataOnly="0" labelOnly="1" fieldPosition="0">
        <references count="1">
          <reference field="3" count="0"/>
        </references>
      </pivotArea>
    </format>
    <format dxfId="28">
      <pivotArea dataOnly="0" labelOnly="1" grandCol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10">
    <chartFormat chart="8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B0AF6-D35B-4141-A9BA-28113BAB6E59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1:O14" firstHeaderRow="1" firstDataRow="1" firstDataCol="1"/>
  <pivotFields count="17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No Delivery Order" fld="1" subtotal="count" baseField="0" baseItem="0"/>
  </dataFields>
  <formats count="8">
    <format dxfId="61">
      <pivotArea field="14" type="button" dataOnly="0" labelOnly="1" outline="0" axis="axisRow" fieldPosition="0"/>
    </format>
    <format dxfId="60">
      <pivotArea dataOnly="0" labelOnly="1" outline="0" axis="axisValues" fieldPosition="0"/>
    </format>
    <format dxfId="59">
      <pivotArea field="14" type="button" dataOnly="0" labelOnly="1" outline="0" axis="axisRow" fieldPosition="0"/>
    </format>
    <format dxfId="58">
      <pivotArea dataOnly="0" labelOnly="1" outline="0" axis="axisValues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1EE65-91E1-427F-B155-2277D079D5A9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N2:O9" firstHeaderRow="1" firstDataRow="1" firstDataCol="1"/>
  <pivotFields count="17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5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No Delivery Order" fld="1" subtotal="count" baseField="0" baseItem="0"/>
  </dataFields>
  <formats count="10">
    <format dxfId="67">
      <pivotArea field="8" type="button" dataOnly="0" labelOnly="1" outline="0" axis="axisRow" fieldPosition="0"/>
    </format>
    <format dxfId="66">
      <pivotArea dataOnly="0" labelOnly="1" outline="0" axis="axisValues" fieldPosition="0"/>
    </format>
    <format dxfId="65">
      <pivotArea field="8" type="button" dataOnly="0" labelOnly="1" outline="0" axis="axisRow" fieldPosition="0"/>
    </format>
    <format dxfId="64">
      <pivotArea dataOnly="0" labelOnly="1" outline="0" axis="axisValues" fieldPosition="0"/>
    </format>
    <format dxfId="63">
      <pivotArea field="8" type="button" dataOnly="0" labelOnly="1" outline="0" axis="axisRow" fieldPosition="0"/>
    </format>
    <format dxfId="62">
      <pivotArea dataOnly="0" labelOnly="1" outline="0" axis="axisValues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</formats>
  <chartFormats count="56">
    <chartFormat chart="7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3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4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4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42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9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5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5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5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5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56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1" format="6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6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6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1" format="6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1" format="69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1" format="7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3" format="7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3" format="8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3" format="8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3" format="8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3" format="8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3" format="84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5" format="9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5" format="9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5" format="9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5" format="9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5" format="9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5" format="98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7" format="10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0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7" format="10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7" format="10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7" format="1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7" format="11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7" format="112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8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1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8" format="1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8" format="11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8" format="117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8" format="118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8" format="119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0" format="1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2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0" format="12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0" format="12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0" format="12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0" format="12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0" format="126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2F68F-5008-47CC-99F1-D7A7BD063800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K2:L13" firstHeaderRow="1" firstDataRow="1" firstDataCol="1"/>
  <pivotFields count="17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axis="axisRow" showAll="0">
      <items count="11">
        <item x="0"/>
        <item x="2"/>
        <item x="5"/>
        <item x="6"/>
        <item x="7"/>
        <item x="4"/>
        <item x="8"/>
        <item x="9"/>
        <item x="1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Barang Keluar" fld="6" baseField="0" baseItem="0"/>
  </dataFields>
  <formats count="10">
    <format dxfId="73">
      <pivotArea field="5" type="button" dataOnly="0" labelOnly="1" outline="0" axis="axisRow" fieldPosition="0"/>
    </format>
    <format dxfId="72">
      <pivotArea dataOnly="0" labelOnly="1" outline="0" axis="axisValues" fieldPosition="0"/>
    </format>
    <format dxfId="71">
      <pivotArea field="5" type="button" dataOnly="0" labelOnly="1" outline="0" axis="axisRow" fieldPosition="0"/>
    </format>
    <format dxfId="70">
      <pivotArea dataOnly="0" labelOnly="1" outline="0" axis="axisValues" fieldPosition="0"/>
    </format>
    <format dxfId="69">
      <pivotArea field="5" type="button" dataOnly="0" labelOnly="1" outline="0" axis="axisRow" fieldPosition="0"/>
    </format>
    <format dxfId="68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</formats>
  <chartFormats count="44">
    <chartFormat chart="14" format="10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10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10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10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4" format="10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4" format="10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4" format="10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4" format="10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4" format="10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4" format="1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6" format="1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2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6" format="1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6" format="1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6" format="12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6" format="12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6" format="128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6" format="129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6" format="130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6" format="13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6" format="132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8" format="1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4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8" format="14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8" format="14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8" format="14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8" format="149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8" format="150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8" format="15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8" format="152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8" format="153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8" format="154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0" format="16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6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0" format="16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0" format="16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0" format="17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0" format="17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0" format="172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0" format="173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0" format="174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0" format="175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0" format="176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8E0E0-7C72-4ED0-8054-4B71D5BE1711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103" firstHeaderRow="1" firstDataRow="1" firstDataCol="1"/>
  <pivotFields count="17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showAll="0"/>
    <pivotField showAll="0"/>
    <pivotField showAll="0"/>
    <pivotField axis="axisRow" showAll="0">
      <items count="101">
        <item x="79"/>
        <item x="9"/>
        <item x="15"/>
        <item x="35"/>
        <item x="23"/>
        <item x="1"/>
        <item x="86"/>
        <item x="61"/>
        <item x="98"/>
        <item x="21"/>
        <item x="81"/>
        <item x="70"/>
        <item x="25"/>
        <item x="60"/>
        <item x="58"/>
        <item x="83"/>
        <item x="57"/>
        <item x="44"/>
        <item x="40"/>
        <item x="13"/>
        <item x="90"/>
        <item x="48"/>
        <item x="53"/>
        <item x="64"/>
        <item x="43"/>
        <item x="69"/>
        <item x="78"/>
        <item x="65"/>
        <item x="67"/>
        <item x="29"/>
        <item x="4"/>
        <item x="26"/>
        <item x="66"/>
        <item x="76"/>
        <item x="54"/>
        <item x="22"/>
        <item x="12"/>
        <item x="95"/>
        <item x="3"/>
        <item x="37"/>
        <item x="89"/>
        <item x="72"/>
        <item x="24"/>
        <item x="68"/>
        <item x="88"/>
        <item x="73"/>
        <item x="11"/>
        <item x="92"/>
        <item x="80"/>
        <item x="36"/>
        <item x="84"/>
        <item x="59"/>
        <item x="32"/>
        <item x="31"/>
        <item x="28"/>
        <item x="0"/>
        <item x="8"/>
        <item x="49"/>
        <item x="63"/>
        <item x="33"/>
        <item x="82"/>
        <item x="27"/>
        <item x="18"/>
        <item x="91"/>
        <item x="38"/>
        <item x="52"/>
        <item x="99"/>
        <item x="75"/>
        <item x="42"/>
        <item x="93"/>
        <item x="62"/>
        <item x="77"/>
        <item x="2"/>
        <item x="56"/>
        <item x="41"/>
        <item x="34"/>
        <item x="5"/>
        <item x="10"/>
        <item x="74"/>
        <item x="19"/>
        <item x="94"/>
        <item x="51"/>
        <item x="50"/>
        <item x="85"/>
        <item x="14"/>
        <item x="71"/>
        <item x="20"/>
        <item x="45"/>
        <item x="46"/>
        <item x="55"/>
        <item x="30"/>
        <item x="16"/>
        <item x="87"/>
        <item x="7"/>
        <item x="47"/>
        <item x="39"/>
        <item x="17"/>
        <item x="96"/>
        <item x="97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Barang Keluar" fld="6" baseField="0" baseItem="0"/>
  </dataFields>
  <formats count="10">
    <format dxfId="79">
      <pivotArea field="4" type="button" dataOnly="0" labelOnly="1" outline="0" axis="axisRow" fieldPosition="0"/>
    </format>
    <format dxfId="78">
      <pivotArea dataOnly="0" labelOnly="1" outline="0" axis="axisValues" fieldPosition="0"/>
    </format>
    <format dxfId="77">
      <pivotArea field="4" type="button" dataOnly="0" labelOnly="1" outline="0" axis="axisRow" fieldPosition="0"/>
    </format>
    <format dxfId="76">
      <pivotArea dataOnly="0" labelOnly="1" outline="0" axis="axisValues" fieldPosition="0"/>
    </format>
    <format dxfId="75">
      <pivotArea field="4" type="button" dataOnly="0" labelOnly="1" outline="0" axis="axisRow" fieldPosition="0"/>
    </format>
    <format dxfId="74">
      <pivotArea dataOnly="0" labelOnly="1" outline="0" axis="axisValues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2B66C-84C0-4F4D-AB09-2E211D881DD6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2:F38" firstHeaderRow="1" firstDataRow="1" firstDataCol="1"/>
  <pivotFields count="11">
    <pivotField numFmtId="14" showAll="0"/>
    <pivotField showAll="0"/>
    <pivotField showAll="0">
      <items count="22">
        <item x="19"/>
        <item x="7"/>
        <item x="11"/>
        <item x="17"/>
        <item x="10"/>
        <item x="9"/>
        <item x="5"/>
        <item x="14"/>
        <item x="8"/>
        <item x="3"/>
        <item x="18"/>
        <item x="6"/>
        <item x="4"/>
        <item x="20"/>
        <item x="13"/>
        <item x="2"/>
        <item x="1"/>
        <item x="0"/>
        <item x="15"/>
        <item x="16"/>
        <item x="12"/>
        <item t="default"/>
      </items>
    </pivotField>
    <pivotField showAll="0"/>
    <pivotField axis="axisRow" showAll="0" sortType="descending">
      <items count="36">
        <item x="0"/>
        <item x="2"/>
        <item x="31"/>
        <item x="23"/>
        <item x="13"/>
        <item x="15"/>
        <item x="20"/>
        <item x="24"/>
        <item x="26"/>
        <item x="18"/>
        <item x="22"/>
        <item x="27"/>
        <item x="29"/>
        <item x="19"/>
        <item x="10"/>
        <item x="25"/>
        <item x="21"/>
        <item x="17"/>
        <item x="32"/>
        <item x="3"/>
        <item x="34"/>
        <item x="30"/>
        <item x="16"/>
        <item x="6"/>
        <item x="14"/>
        <item x="9"/>
        <item x="33"/>
        <item x="8"/>
        <item x="1"/>
        <item x="11"/>
        <item x="12"/>
        <item x="4"/>
        <item x="7"/>
        <item x="2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36">
    <i>
      <x v="34"/>
    </i>
    <i>
      <x/>
    </i>
    <i>
      <x v="29"/>
    </i>
    <i>
      <x v="28"/>
    </i>
    <i>
      <x v="31"/>
    </i>
    <i>
      <x v="14"/>
    </i>
    <i>
      <x v="30"/>
    </i>
    <i>
      <x v="16"/>
    </i>
    <i>
      <x v="32"/>
    </i>
    <i>
      <x v="15"/>
    </i>
    <i>
      <x v="19"/>
    </i>
    <i>
      <x v="6"/>
    </i>
    <i>
      <x v="5"/>
    </i>
    <i>
      <x v="7"/>
    </i>
    <i>
      <x v="23"/>
    </i>
    <i>
      <x v="1"/>
    </i>
    <i>
      <x v="22"/>
    </i>
    <i>
      <x v="21"/>
    </i>
    <i>
      <x v="26"/>
    </i>
    <i>
      <x v="33"/>
    </i>
    <i>
      <x v="20"/>
    </i>
    <i>
      <x v="25"/>
    </i>
    <i>
      <x v="13"/>
    </i>
    <i>
      <x v="11"/>
    </i>
    <i>
      <x v="12"/>
    </i>
    <i>
      <x v="24"/>
    </i>
    <i>
      <x v="3"/>
    </i>
    <i>
      <x v="8"/>
    </i>
    <i>
      <x v="4"/>
    </i>
    <i>
      <x v="9"/>
    </i>
    <i>
      <x v="27"/>
    </i>
    <i>
      <x v="17"/>
    </i>
    <i>
      <x v="2"/>
    </i>
    <i>
      <x v="18"/>
    </i>
    <i>
      <x v="10"/>
    </i>
    <i t="grand">
      <x/>
    </i>
  </rowItems>
  <colItems count="1">
    <i/>
  </colItems>
  <dataFields count="1">
    <dataField name="Sum of Barang Masuk" fld="5" baseField="0" baseItem="0"/>
  </dataFields>
  <formats count="10">
    <format dxfId="85">
      <pivotArea field="4" type="button" dataOnly="0" labelOnly="1" outline="0" axis="axisRow" fieldPosition="0"/>
    </format>
    <format dxfId="84">
      <pivotArea dataOnly="0" labelOnly="1" outline="0" axis="axisValues" fieldPosition="0"/>
    </format>
    <format dxfId="83">
      <pivotArea field="4" type="button" dataOnly="0" labelOnly="1" outline="0" axis="axisRow" fieldPosition="0"/>
    </format>
    <format dxfId="82">
      <pivotArea dataOnly="0" labelOnly="1" outline="0" axis="axisValues" fieldPosition="0"/>
    </format>
    <format dxfId="81">
      <pivotArea field="4" type="button" dataOnly="0" labelOnly="1" outline="0" axis="axisRow" fieldPosition="0"/>
    </format>
    <format dxfId="80">
      <pivotArea dataOnly="0" labelOnly="1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</formats>
  <chartFormats count="2"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7AA1C-18DC-4795-B729-513FBDFE33A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Barang">
  <location ref="B2:C24" firstHeaderRow="1" firstDataRow="1" firstDataCol="1"/>
  <pivotFields count="5">
    <pivotField showAll="0"/>
    <pivotField axis="axisRow" showAll="0" sortType="ascending">
      <items count="22">
        <item x="3"/>
        <item x="9"/>
        <item x="5"/>
        <item x="2"/>
        <item x="0"/>
        <item x="1"/>
        <item x="4"/>
        <item x="8"/>
        <item x="13"/>
        <item x="10"/>
        <item x="14"/>
        <item x="15"/>
        <item x="11"/>
        <item x="12"/>
        <item x="7"/>
        <item x="20"/>
        <item x="19"/>
        <item x="18"/>
        <item x="16"/>
        <item x="1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1"/>
  </rowFields>
  <rowItems count="22">
    <i>
      <x v="2"/>
    </i>
    <i>
      <x v="11"/>
    </i>
    <i>
      <x v="7"/>
    </i>
    <i>
      <x v="1"/>
    </i>
    <i>
      <x v="14"/>
    </i>
    <i>
      <x v="20"/>
    </i>
    <i>
      <x v="3"/>
    </i>
    <i>
      <x v="16"/>
    </i>
    <i>
      <x v="18"/>
    </i>
    <i>
      <x v="10"/>
    </i>
    <i>
      <x v="6"/>
    </i>
    <i>
      <x v="17"/>
    </i>
    <i>
      <x v="5"/>
    </i>
    <i>
      <x/>
    </i>
    <i>
      <x v="19"/>
    </i>
    <i>
      <x v="4"/>
    </i>
    <i>
      <x v="15"/>
    </i>
    <i>
      <x v="9"/>
    </i>
    <i>
      <x v="13"/>
    </i>
    <i>
      <x v="8"/>
    </i>
    <i>
      <x v="12"/>
    </i>
    <i t="grand">
      <x/>
    </i>
  </rowItems>
  <colItems count="1">
    <i/>
  </colItems>
  <dataFields count="1">
    <dataField name="Stok Akhir Barang" fld="4" baseField="0" baseItem="0"/>
  </dataFields>
  <formats count="10">
    <format dxfId="91">
      <pivotArea field="1" type="button" dataOnly="0" labelOnly="1" outline="0" axis="axisRow" fieldPosition="0"/>
    </format>
    <format dxfId="90">
      <pivotArea dataOnly="0" labelOnly="1" outline="0" axis="axisValues" fieldPosition="0"/>
    </format>
    <format dxfId="89">
      <pivotArea field="1" type="button" dataOnly="0" labelOnly="1" outline="0" axis="axisRow" fieldPosition="0"/>
    </format>
    <format dxfId="88">
      <pivotArea dataOnly="0" labelOnly="1" outline="0" axis="axisValues" fieldPosition="0"/>
    </format>
    <format dxfId="87">
      <pivotArea field="1" type="button" dataOnly="0" labelOnly="1" outline="0" axis="axisRow" fieldPosition="0"/>
    </format>
    <format dxfId="86">
      <pivotArea dataOnly="0" labelOnly="1" outline="0" axis="axisValues" fieldPosition="0"/>
    </format>
    <format dxfId="27">
      <pivotArea grandRow="1" outline="0" collapsedLevelsAreSubtotals="1" fieldPosition="0"/>
    </format>
    <format dxfId="26">
      <pivotArea dataOnly="0" labelOnly="1" grandRow="1" outline="0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</formats>
  <chartFormats count="20">
    <chartFormat chart="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9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1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3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3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5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5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0147-B6C3-4E13-B139-6F3CEA27F938}">
  <dimension ref="A1"/>
  <sheetViews>
    <sheetView showGridLines="0" zoomScale="55" zoomScaleNormal="55" workbookViewId="0">
      <selection activeCell="U43" sqref="U43"/>
    </sheetView>
  </sheetViews>
  <sheetFormatPr defaultRowHeight="12.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G23"/>
  <sheetViews>
    <sheetView showGridLines="0" zoomScale="85" zoomScaleNormal="85" workbookViewId="0">
      <selection activeCell="E8" sqref="E8:F8"/>
    </sheetView>
  </sheetViews>
  <sheetFormatPr defaultColWidth="12.6328125" defaultRowHeight="15.75" customHeight="1" x14ac:dyDescent="0.25"/>
  <cols>
    <col min="2" max="2" width="12" bestFit="1" customWidth="1"/>
    <col min="3" max="3" width="25.453125" bestFit="1" customWidth="1"/>
    <col min="4" max="4" width="4.90625" customWidth="1"/>
    <col min="5" max="5" width="13.36328125" customWidth="1"/>
    <col min="6" max="6" width="13.7265625" customWidth="1"/>
    <col min="7" max="7" width="14.81640625" customWidth="1"/>
  </cols>
  <sheetData>
    <row r="2" spans="2:7" ht="13" x14ac:dyDescent="0.3">
      <c r="B2" s="14" t="s">
        <v>0</v>
      </c>
      <c r="C2" s="15" t="s">
        <v>1</v>
      </c>
      <c r="E2" s="15" t="s">
        <v>2</v>
      </c>
      <c r="F2" s="16" t="s">
        <v>3</v>
      </c>
      <c r="G2" s="17"/>
    </row>
    <row r="3" spans="2:7" ht="12.5" x14ac:dyDescent="0.25">
      <c r="B3" s="1" t="s">
        <v>4</v>
      </c>
      <c r="C3" s="1" t="s">
        <v>5</v>
      </c>
      <c r="E3" s="1" t="s">
        <v>6</v>
      </c>
      <c r="F3" s="1" t="s">
        <v>7</v>
      </c>
      <c r="G3" s="1" t="s">
        <v>8</v>
      </c>
    </row>
    <row r="4" spans="2:7" ht="12.5" x14ac:dyDescent="0.25">
      <c r="B4" s="1" t="s">
        <v>9</v>
      </c>
      <c r="C4" s="1" t="s">
        <v>10</v>
      </c>
      <c r="E4" s="1" t="s">
        <v>11</v>
      </c>
      <c r="F4" s="1" t="s">
        <v>12</v>
      </c>
      <c r="G4" s="1" t="s">
        <v>13</v>
      </c>
    </row>
    <row r="5" spans="2:7" ht="12.5" x14ac:dyDescent="0.25">
      <c r="B5" s="1" t="s">
        <v>14</v>
      </c>
      <c r="C5" s="1" t="s">
        <v>15</v>
      </c>
      <c r="E5" s="1" t="s">
        <v>16</v>
      </c>
      <c r="F5" s="1" t="s">
        <v>17</v>
      </c>
      <c r="G5" s="1" t="s">
        <v>18</v>
      </c>
    </row>
    <row r="6" spans="2:7" ht="12.5" x14ac:dyDescent="0.25">
      <c r="B6" s="1" t="s">
        <v>19</v>
      </c>
      <c r="C6" s="1" t="s">
        <v>20</v>
      </c>
      <c r="E6" s="1" t="s">
        <v>21</v>
      </c>
      <c r="F6" s="1" t="s">
        <v>22</v>
      </c>
      <c r="G6" s="1" t="s">
        <v>23</v>
      </c>
    </row>
    <row r="7" spans="2:7" ht="12.5" x14ac:dyDescent="0.25">
      <c r="B7" s="1" t="s">
        <v>24</v>
      </c>
      <c r="C7" s="1" t="s">
        <v>25</v>
      </c>
    </row>
    <row r="8" spans="2:7" ht="13" x14ac:dyDescent="0.3">
      <c r="B8" s="1" t="s">
        <v>26</v>
      </c>
      <c r="C8" s="1" t="s">
        <v>27</v>
      </c>
      <c r="E8" s="18" t="s">
        <v>28</v>
      </c>
      <c r="F8" s="18" t="s">
        <v>29</v>
      </c>
    </row>
    <row r="9" spans="2:7" ht="12.5" x14ac:dyDescent="0.25">
      <c r="B9" s="1" t="s">
        <v>30</v>
      </c>
      <c r="C9" s="1" t="s">
        <v>31</v>
      </c>
      <c r="E9" s="1" t="s">
        <v>32</v>
      </c>
      <c r="F9" s="1" t="s">
        <v>33</v>
      </c>
    </row>
    <row r="10" spans="2:7" ht="12.5" x14ac:dyDescent="0.25">
      <c r="B10" s="1" t="s">
        <v>34</v>
      </c>
      <c r="C10" s="1" t="s">
        <v>35</v>
      </c>
      <c r="E10" s="1" t="s">
        <v>36</v>
      </c>
      <c r="F10" s="1" t="s">
        <v>37</v>
      </c>
    </row>
    <row r="11" spans="2:7" ht="12.5" x14ac:dyDescent="0.25">
      <c r="B11" s="1" t="s">
        <v>38</v>
      </c>
      <c r="C11" s="1" t="s">
        <v>39</v>
      </c>
      <c r="E11" s="1" t="s">
        <v>40</v>
      </c>
      <c r="F11" s="1" t="s">
        <v>41</v>
      </c>
    </row>
    <row r="12" spans="2:7" ht="12.5" x14ac:dyDescent="0.25">
      <c r="B12" s="1" t="s">
        <v>42</v>
      </c>
      <c r="C12" s="1" t="s">
        <v>43</v>
      </c>
      <c r="E12" s="1" t="s">
        <v>44</v>
      </c>
      <c r="F12" s="1" t="s">
        <v>45</v>
      </c>
    </row>
    <row r="13" spans="2:7" ht="12.5" x14ac:dyDescent="0.25">
      <c r="B13" s="1" t="s">
        <v>46</v>
      </c>
      <c r="C13" s="1" t="s">
        <v>47</v>
      </c>
      <c r="E13" s="1" t="s">
        <v>48</v>
      </c>
      <c r="F13" s="1" t="s">
        <v>49</v>
      </c>
    </row>
    <row r="14" spans="2:7" ht="12.5" x14ac:dyDescent="0.25">
      <c r="B14" s="1" t="s">
        <v>50</v>
      </c>
      <c r="C14" s="1" t="s">
        <v>51</v>
      </c>
    </row>
    <row r="15" spans="2:7" ht="12.5" x14ac:dyDescent="0.25">
      <c r="B15" s="1" t="s">
        <v>52</v>
      </c>
      <c r="C15" s="1" t="s">
        <v>53</v>
      </c>
    </row>
    <row r="16" spans="2:7" ht="12.5" x14ac:dyDescent="0.25">
      <c r="B16" s="1" t="s">
        <v>54</v>
      </c>
      <c r="C16" s="1" t="s">
        <v>55</v>
      </c>
    </row>
    <row r="17" spans="2:3" ht="12.5" x14ac:dyDescent="0.25">
      <c r="B17" s="1" t="s">
        <v>56</v>
      </c>
      <c r="C17" s="1" t="s">
        <v>57</v>
      </c>
    </row>
    <row r="18" spans="2:3" ht="12.5" x14ac:dyDescent="0.25">
      <c r="B18" s="1" t="s">
        <v>58</v>
      </c>
      <c r="C18" s="1" t="s">
        <v>59</v>
      </c>
    </row>
    <row r="19" spans="2:3" ht="12.5" x14ac:dyDescent="0.25">
      <c r="B19" s="1" t="s">
        <v>60</v>
      </c>
      <c r="C19" s="1" t="s">
        <v>61</v>
      </c>
    </row>
    <row r="20" spans="2:3" ht="12.5" x14ac:dyDescent="0.25">
      <c r="B20" s="1" t="s">
        <v>62</v>
      </c>
      <c r="C20" s="1" t="s">
        <v>63</v>
      </c>
    </row>
    <row r="21" spans="2:3" ht="12.5" x14ac:dyDescent="0.25">
      <c r="B21" s="1" t="s">
        <v>64</v>
      </c>
      <c r="C21" s="1" t="s">
        <v>65</v>
      </c>
    </row>
    <row r="22" spans="2:3" ht="12.5" x14ac:dyDescent="0.25">
      <c r="B22" s="1" t="s">
        <v>66</v>
      </c>
      <c r="C22" s="1" t="s">
        <v>67</v>
      </c>
    </row>
    <row r="23" spans="2:3" ht="12.5" x14ac:dyDescent="0.25">
      <c r="B23" s="1" t="s">
        <v>68</v>
      </c>
      <c r="C23" s="1" t="s">
        <v>69</v>
      </c>
    </row>
  </sheetData>
  <mergeCells count="1"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0"/>
  <sheetViews>
    <sheetView zoomScale="70" zoomScaleNormal="70" workbookViewId="0">
      <pane xSplit="2" topLeftCell="C1" activePane="topRight" state="frozen"/>
      <selection pane="topRight"/>
    </sheetView>
  </sheetViews>
  <sheetFormatPr defaultColWidth="12.6328125" defaultRowHeight="15.75" customHeight="1" x14ac:dyDescent="0.25"/>
  <cols>
    <col min="1" max="1" width="11.7265625" bestFit="1" customWidth="1"/>
    <col min="2" max="2" width="15.90625" customWidth="1"/>
    <col min="3" max="3" width="26.26953125" bestFit="1" customWidth="1"/>
    <col min="4" max="4" width="15.54296875" bestFit="1" customWidth="1"/>
    <col min="5" max="5" width="23.6328125" bestFit="1" customWidth="1"/>
    <col min="6" max="6" width="17.26953125" bestFit="1" customWidth="1"/>
    <col min="7" max="7" width="17" bestFit="1" customWidth="1"/>
    <col min="8" max="8" width="13.6328125" bestFit="1" customWidth="1"/>
    <col min="9" max="9" width="14" bestFit="1" customWidth="1"/>
    <col min="10" max="10" width="11.1796875" bestFit="1" customWidth="1"/>
    <col min="11" max="11" width="22.54296875" bestFit="1" customWidth="1"/>
    <col min="14" max="14" width="27" bestFit="1" customWidth="1"/>
    <col min="15" max="15" width="13.90625" bestFit="1" customWidth="1"/>
    <col min="16" max="16" width="14.26953125" bestFit="1" customWidth="1"/>
  </cols>
  <sheetData>
    <row r="1" spans="1:17" ht="15.75" customHeight="1" x14ac:dyDescent="0.35">
      <c r="A1" s="28" t="s">
        <v>70</v>
      </c>
      <c r="B1" s="19" t="s">
        <v>0</v>
      </c>
      <c r="C1" s="19" t="s">
        <v>1</v>
      </c>
      <c r="D1" s="19" t="s">
        <v>71</v>
      </c>
      <c r="E1" s="19" t="s">
        <v>72</v>
      </c>
      <c r="F1" s="19" t="s">
        <v>73</v>
      </c>
      <c r="G1" s="19" t="s">
        <v>74</v>
      </c>
      <c r="H1" s="19" t="s">
        <v>75</v>
      </c>
      <c r="I1" s="19" t="s">
        <v>76</v>
      </c>
      <c r="J1" s="19" t="s">
        <v>77</v>
      </c>
      <c r="K1" s="19" t="s">
        <v>78</v>
      </c>
      <c r="M1" s="19" t="s">
        <v>0</v>
      </c>
      <c r="N1" s="19" t="s">
        <v>1</v>
      </c>
      <c r="O1" s="19" t="s">
        <v>381</v>
      </c>
      <c r="P1" s="19" t="s">
        <v>382</v>
      </c>
      <c r="Q1" s="19" t="s">
        <v>76</v>
      </c>
    </row>
    <row r="2" spans="1:17" ht="15.75" customHeight="1" x14ac:dyDescent="0.35">
      <c r="A2" s="29">
        <v>45658</v>
      </c>
      <c r="B2" s="30" t="s">
        <v>64</v>
      </c>
      <c r="C2" s="31" t="str">
        <f>VLOOKUP(B2,'Kode Data'!$B$3:$C$23,2,0)</f>
        <v>Tepung Terigu Protein Rendah</v>
      </c>
      <c r="D2" s="30" t="str">
        <f>VLOOKUP(LEFT(B2,2),'Kode Data'!$E$3:$G$6,3,0)</f>
        <v>Produk</v>
      </c>
      <c r="E2" s="31" t="s">
        <v>79</v>
      </c>
      <c r="F2" s="30">
        <v>500</v>
      </c>
      <c r="G2" s="30">
        <v>0</v>
      </c>
      <c r="H2" s="30">
        <v>1000</v>
      </c>
      <c r="I2" s="30">
        <v>1500</v>
      </c>
      <c r="J2" s="30" t="s">
        <v>80</v>
      </c>
      <c r="K2" s="32" t="s">
        <v>81</v>
      </c>
      <c r="M2" s="5" t="s">
        <v>4</v>
      </c>
      <c r="N2" s="9" t="str">
        <f>VLOOKUP(M2,Barang,2,0)</f>
        <v>Gandum Hard Wheat</v>
      </c>
      <c r="O2" s="10">
        <f>SUMIF($B$2:$B$949,M2,$F$2:$F$949)+1000</f>
        <v>13950</v>
      </c>
      <c r="P2" s="10">
        <f>SUMIF($B$2:$B$949,M2,$G$2:$G$949)</f>
        <v>10250</v>
      </c>
      <c r="Q2" s="10">
        <f>O2-P2</f>
        <v>3700</v>
      </c>
    </row>
    <row r="3" spans="1:17" ht="15.75" customHeight="1" x14ac:dyDescent="0.35">
      <c r="A3" s="29">
        <v>45658</v>
      </c>
      <c r="B3" s="30" t="s">
        <v>66</v>
      </c>
      <c r="C3" s="31" t="str">
        <f>VLOOKUP(B3,'Kode Data'!$B$3:$C$23,2,0)</f>
        <v>Tepung Terigu Khusus Roti</v>
      </c>
      <c r="D3" s="30" t="str">
        <f>VLOOKUP(LEFT(B3,2),'Kode Data'!$E$3:$G$6,3,0)</f>
        <v>Produk</v>
      </c>
      <c r="E3" s="31" t="s">
        <v>82</v>
      </c>
      <c r="F3" s="30">
        <v>500</v>
      </c>
      <c r="G3" s="30">
        <v>0</v>
      </c>
      <c r="H3" s="30">
        <v>1000</v>
      </c>
      <c r="I3" s="30">
        <v>1500</v>
      </c>
      <c r="J3" s="30" t="s">
        <v>80</v>
      </c>
      <c r="K3" s="32" t="s">
        <v>81</v>
      </c>
      <c r="M3" s="5" t="s">
        <v>9</v>
      </c>
      <c r="N3" s="9" t="str">
        <f>VLOOKUP(M3,Barang,2,0)</f>
        <v>Gandum Soft Wheat</v>
      </c>
      <c r="O3" s="10">
        <f>SUMIF($B$2:$B$949,M3,$F$2:$F$949)+1000</f>
        <v>10500</v>
      </c>
      <c r="P3" s="10">
        <f t="shared" ref="P3:P23" si="0">SUMIF($B$2:$B$949,M3,$G$2:$G$949)</f>
        <v>7700</v>
      </c>
      <c r="Q3" s="10">
        <f t="shared" ref="Q3:Q22" si="1">O3-P3</f>
        <v>2800</v>
      </c>
    </row>
    <row r="4" spans="1:17" ht="15.75" customHeight="1" x14ac:dyDescent="0.35">
      <c r="A4" s="29">
        <v>45658</v>
      </c>
      <c r="B4" s="30" t="s">
        <v>68</v>
      </c>
      <c r="C4" s="31" t="str">
        <f>VLOOKUP(B4,'Kode Data'!$B$3:$C$23,2,0)</f>
        <v>Tepung Terigu Khusus Kue</v>
      </c>
      <c r="D4" s="30" t="str">
        <f>VLOOKUP(LEFT(B4,2),'Kode Data'!$E$3:$G$6,3,0)</f>
        <v>Produk</v>
      </c>
      <c r="E4" s="31" t="s">
        <v>83</v>
      </c>
      <c r="F4" s="30">
        <v>500</v>
      </c>
      <c r="G4" s="30">
        <v>0</v>
      </c>
      <c r="H4" s="30">
        <v>1000</v>
      </c>
      <c r="I4" s="30">
        <v>1500</v>
      </c>
      <c r="J4" s="30" t="s">
        <v>80</v>
      </c>
      <c r="K4" s="32" t="s">
        <v>81</v>
      </c>
      <c r="M4" s="5" t="s">
        <v>14</v>
      </c>
      <c r="N4" s="9" t="str">
        <f>VLOOKUP(M4,Barang,2,0)</f>
        <v>Gandum Durum</v>
      </c>
      <c r="O4" s="10">
        <f>SUMIF($B$2:$B$949,M4,$F$2:$F$949)+1000</f>
        <v>8190</v>
      </c>
      <c r="P4" s="10">
        <f t="shared" si="0"/>
        <v>6550</v>
      </c>
      <c r="Q4" s="10">
        <f t="shared" si="1"/>
        <v>1640</v>
      </c>
    </row>
    <row r="5" spans="1:17" ht="15.75" customHeight="1" x14ac:dyDescent="0.35">
      <c r="A5" s="29">
        <v>45658</v>
      </c>
      <c r="B5" s="30" t="s">
        <v>46</v>
      </c>
      <c r="C5" s="31" t="str">
        <f>VLOOKUP(B5,'Kode Data'!$B$3:$C$23,2,0)</f>
        <v>Karung Kemasan 25 Kg</v>
      </c>
      <c r="D5" s="30" t="str">
        <f>VLOOKUP(LEFT(B5,2),'Kode Data'!$E$3:$G$6,3,0)</f>
        <v>Kemasan</v>
      </c>
      <c r="E5" s="31" t="s">
        <v>84</v>
      </c>
      <c r="F5" s="30">
        <v>500</v>
      </c>
      <c r="G5" s="30">
        <v>0</v>
      </c>
      <c r="H5" s="30">
        <v>1000</v>
      </c>
      <c r="I5" s="30">
        <v>1500</v>
      </c>
      <c r="J5" s="30" t="s">
        <v>80</v>
      </c>
      <c r="K5" s="32" t="s">
        <v>85</v>
      </c>
      <c r="M5" s="5" t="s">
        <v>19</v>
      </c>
      <c r="N5" s="9" t="str">
        <f>VLOOKUP(M5,Barang,2,0)</f>
        <v>Bran Gandum</v>
      </c>
      <c r="O5" s="10">
        <f>SUMIF($B$2:$B$949,M5,$F$2:$F$949)+500</f>
        <v>9300</v>
      </c>
      <c r="P5" s="10">
        <f t="shared" si="0"/>
        <v>6400</v>
      </c>
      <c r="Q5" s="10">
        <f t="shared" si="1"/>
        <v>2900</v>
      </c>
    </row>
    <row r="6" spans="1:17" ht="15.75" customHeight="1" x14ac:dyDescent="0.35">
      <c r="A6" s="29">
        <v>45658</v>
      </c>
      <c r="B6" s="30" t="s">
        <v>50</v>
      </c>
      <c r="C6" s="31" t="str">
        <f>VLOOKUP(B6,'Kode Data'!$B$3:$C$23,2,0)</f>
        <v>Plastik Kemasan 1 Kg</v>
      </c>
      <c r="D6" s="30" t="str">
        <f>VLOOKUP(LEFT(B6,2),'Kode Data'!$E$3:$G$6,3,0)</f>
        <v>Kemasan</v>
      </c>
      <c r="E6" s="31" t="s">
        <v>86</v>
      </c>
      <c r="F6" s="30">
        <v>1000</v>
      </c>
      <c r="G6" s="30">
        <v>0</v>
      </c>
      <c r="H6" s="30">
        <v>5000</v>
      </c>
      <c r="I6" s="30">
        <v>6000</v>
      </c>
      <c r="J6" s="30" t="s">
        <v>80</v>
      </c>
      <c r="K6" s="32" t="s">
        <v>85</v>
      </c>
      <c r="M6" s="5" t="s">
        <v>24</v>
      </c>
      <c r="N6" s="9" t="str">
        <f>VLOOKUP(M6,Barang,2,0)</f>
        <v>Germ Gandum</v>
      </c>
      <c r="O6" s="10">
        <f>SUMIF($B$2:$B$949,M6,$F$2:$F$949)+500</f>
        <v>7060</v>
      </c>
      <c r="P6" s="10">
        <f t="shared" si="0"/>
        <v>4650</v>
      </c>
      <c r="Q6" s="10">
        <f t="shared" si="1"/>
        <v>2410</v>
      </c>
    </row>
    <row r="7" spans="1:17" ht="15.75" customHeight="1" x14ac:dyDescent="0.35">
      <c r="A7" s="33">
        <v>45658</v>
      </c>
      <c r="B7" s="30" t="s">
        <v>24</v>
      </c>
      <c r="C7" s="31" t="str">
        <f>VLOOKUP(B7,'Kode Data'!$B$3:$C$23,2,0)</f>
        <v>Germ Gandum</v>
      </c>
      <c r="D7" s="30" t="str">
        <f>VLOOKUP(LEFT(B7,2),'Kode Data'!$E$3:$G$6,3,0)</f>
        <v>Bahan Baku</v>
      </c>
      <c r="E7" s="31" t="s">
        <v>79</v>
      </c>
      <c r="F7" s="30">
        <v>300</v>
      </c>
      <c r="G7" s="30">
        <v>0</v>
      </c>
      <c r="H7" s="30">
        <v>500</v>
      </c>
      <c r="I7" s="30">
        <v>800</v>
      </c>
      <c r="J7" s="30" t="s">
        <v>87</v>
      </c>
      <c r="K7" s="32" t="s">
        <v>88</v>
      </c>
      <c r="M7" s="5" t="s">
        <v>26</v>
      </c>
      <c r="N7" s="9" t="str">
        <f>VLOOKUP(M7,Barang,2,0)</f>
        <v>Enzim Baking</v>
      </c>
      <c r="O7" s="10">
        <f>SUMIF($B$2:$B$949,M7,$F$2:$F$949)+200</f>
        <v>2685</v>
      </c>
      <c r="P7" s="10">
        <f t="shared" si="0"/>
        <v>2405</v>
      </c>
      <c r="Q7" s="10">
        <f t="shared" si="1"/>
        <v>280</v>
      </c>
    </row>
    <row r="8" spans="1:17" ht="15.75" customHeight="1" x14ac:dyDescent="0.35">
      <c r="A8" s="29">
        <v>45659</v>
      </c>
      <c r="B8" s="30" t="s">
        <v>64</v>
      </c>
      <c r="C8" s="31" t="str">
        <f>VLOOKUP(B8,'Kode Data'!$B$3:$C$23,2,0)</f>
        <v>Tepung Terigu Protein Rendah</v>
      </c>
      <c r="D8" s="30" t="str">
        <f>VLOOKUP(LEFT(B8,2),'Kode Data'!$E$3:$G$6,3,0)</f>
        <v>Produk</v>
      </c>
      <c r="E8" s="31" t="s">
        <v>89</v>
      </c>
      <c r="F8" s="30">
        <v>0</v>
      </c>
      <c r="G8" s="30">
        <v>400</v>
      </c>
      <c r="H8" s="30">
        <v>1500</v>
      </c>
      <c r="I8" s="30">
        <v>1100</v>
      </c>
      <c r="J8" s="30" t="s">
        <v>80</v>
      </c>
      <c r="K8" s="32" t="s">
        <v>90</v>
      </c>
      <c r="M8" s="5" t="s">
        <v>30</v>
      </c>
      <c r="N8" s="9" t="str">
        <f>VLOOKUP(M8,Barang,2,0)</f>
        <v>Vitamin Fortifikasi</v>
      </c>
      <c r="O8" s="10">
        <f>SUMIF($B$2:$B$949,M8,$F$2:$F$949)+200</f>
        <v>3140</v>
      </c>
      <c r="P8" s="10">
        <f t="shared" si="0"/>
        <v>2200</v>
      </c>
      <c r="Q8" s="10">
        <f t="shared" si="1"/>
        <v>940</v>
      </c>
    </row>
    <row r="9" spans="1:17" ht="15.75" customHeight="1" x14ac:dyDescent="0.35">
      <c r="A9" s="29">
        <v>45659</v>
      </c>
      <c r="B9" s="30" t="s">
        <v>66</v>
      </c>
      <c r="C9" s="31" t="str">
        <f>VLOOKUP(B9,'Kode Data'!$B$3:$C$23,2,0)</f>
        <v>Tepung Terigu Khusus Roti</v>
      </c>
      <c r="D9" s="30" t="str">
        <f>VLOOKUP(LEFT(B9,2),'Kode Data'!$E$3:$G$6,3,0)</f>
        <v>Produk</v>
      </c>
      <c r="E9" s="31" t="s">
        <v>89</v>
      </c>
      <c r="F9" s="30">
        <v>0</v>
      </c>
      <c r="G9" s="30">
        <v>400</v>
      </c>
      <c r="H9" s="30">
        <v>1500</v>
      </c>
      <c r="I9" s="30">
        <v>1100</v>
      </c>
      <c r="J9" s="30" t="s">
        <v>80</v>
      </c>
      <c r="K9" s="32" t="s">
        <v>90</v>
      </c>
      <c r="M9" s="5" t="s">
        <v>34</v>
      </c>
      <c r="N9" s="9" t="str">
        <f>VLOOKUP(M9,Barang,2,0)</f>
        <v>Tepung Premix</v>
      </c>
      <c r="O9" s="10">
        <f>SUMIF($B$2:$B$949,M9,$F$2:$F$949)+500</f>
        <v>5070</v>
      </c>
      <c r="P9" s="10">
        <f t="shared" si="0"/>
        <v>4190</v>
      </c>
      <c r="Q9" s="10">
        <f t="shared" si="1"/>
        <v>880</v>
      </c>
    </row>
    <row r="10" spans="1:17" ht="15.75" customHeight="1" x14ac:dyDescent="0.35">
      <c r="A10" s="29">
        <v>45659</v>
      </c>
      <c r="B10" s="30" t="s">
        <v>68</v>
      </c>
      <c r="C10" s="31" t="str">
        <f>VLOOKUP(B10,'Kode Data'!$B$3:$C$23,2,0)</f>
        <v>Tepung Terigu Khusus Kue</v>
      </c>
      <c r="D10" s="30" t="str">
        <f>VLOOKUP(LEFT(B10,2),'Kode Data'!$E$3:$G$6,3,0)</f>
        <v>Produk</v>
      </c>
      <c r="E10" s="31" t="s">
        <v>91</v>
      </c>
      <c r="F10" s="30">
        <v>0</v>
      </c>
      <c r="G10" s="30">
        <v>300</v>
      </c>
      <c r="H10" s="30">
        <v>1500</v>
      </c>
      <c r="I10" s="30">
        <v>1200</v>
      </c>
      <c r="J10" s="30" t="s">
        <v>80</v>
      </c>
      <c r="K10" s="32" t="s">
        <v>90</v>
      </c>
      <c r="M10" s="5" t="s">
        <v>38</v>
      </c>
      <c r="N10" s="9" t="str">
        <f>VLOOKUP(M10,Barang,2,0)</f>
        <v>Improver Tepung</v>
      </c>
      <c r="O10" s="10">
        <f>SUMIF($B$2:$B$949,M10,$F$2:$F$949)+200</f>
        <v>3730</v>
      </c>
      <c r="P10" s="10">
        <f t="shared" si="0"/>
        <v>3320</v>
      </c>
      <c r="Q10" s="10">
        <f t="shared" si="1"/>
        <v>410</v>
      </c>
    </row>
    <row r="11" spans="1:17" ht="15.75" customHeight="1" x14ac:dyDescent="0.35">
      <c r="A11" s="29">
        <v>45659</v>
      </c>
      <c r="B11" s="30" t="s">
        <v>50</v>
      </c>
      <c r="C11" s="31" t="str">
        <f>VLOOKUP(B11,'Kode Data'!$B$3:$C$23,2,0)</f>
        <v>Plastik Kemasan 1 Kg</v>
      </c>
      <c r="D11" s="30" t="str">
        <f>VLOOKUP(LEFT(B11,2),'Kode Data'!$E$3:$G$6,3,0)</f>
        <v>Kemasan</v>
      </c>
      <c r="E11" s="31" t="s">
        <v>92</v>
      </c>
      <c r="F11" s="30">
        <v>0</v>
      </c>
      <c r="G11" s="30">
        <v>300</v>
      </c>
      <c r="H11" s="30">
        <v>6000</v>
      </c>
      <c r="I11" s="30">
        <v>5700</v>
      </c>
      <c r="J11" s="30" t="s">
        <v>80</v>
      </c>
      <c r="K11" s="32" t="s">
        <v>93</v>
      </c>
      <c r="M11" s="5" t="s">
        <v>42</v>
      </c>
      <c r="N11" s="9" t="str">
        <f>VLOOKUP(M11,Barang,2,0)</f>
        <v>Calcium Propionate</v>
      </c>
      <c r="O11" s="10">
        <f>SUMIF($B$2:$B$949,M11,$F$2:$F$949)+200</f>
        <v>1450</v>
      </c>
      <c r="P11" s="10">
        <f t="shared" si="0"/>
        <v>720</v>
      </c>
      <c r="Q11" s="10">
        <f t="shared" si="1"/>
        <v>730</v>
      </c>
    </row>
    <row r="12" spans="1:17" ht="15.75" customHeight="1" x14ac:dyDescent="0.35">
      <c r="A12" s="33">
        <v>45659</v>
      </c>
      <c r="B12" s="30" t="s">
        <v>58</v>
      </c>
      <c r="C12" s="31" t="str">
        <f>VLOOKUP(B12,'Kode Data'!$B$3:$C$23,2,0)</f>
        <v>Pallet Kayu</v>
      </c>
      <c r="D12" s="30" t="str">
        <f>VLOOKUP(LEFT(B12,2),'Kode Data'!$E$3:$G$6,3,0)</f>
        <v>Kemasan</v>
      </c>
      <c r="E12" s="31" t="s">
        <v>94</v>
      </c>
      <c r="F12" s="30">
        <v>50</v>
      </c>
      <c r="G12" s="30">
        <v>0</v>
      </c>
      <c r="H12" s="30">
        <v>100</v>
      </c>
      <c r="I12" s="30">
        <v>150</v>
      </c>
      <c r="J12" s="30" t="s">
        <v>80</v>
      </c>
      <c r="K12" s="32" t="s">
        <v>85</v>
      </c>
      <c r="M12" s="5" t="s">
        <v>46</v>
      </c>
      <c r="N12" s="9" t="str">
        <f>VLOOKUP(M12,Barang,2,0)</f>
        <v>Karung Kemasan 25 Kg</v>
      </c>
      <c r="O12" s="10">
        <f>SUMIF($B$2:$B$949,M12,$F$2:$F$949)+1000</f>
        <v>10850</v>
      </c>
      <c r="P12" s="10">
        <f t="shared" si="0"/>
        <v>5330</v>
      </c>
      <c r="Q12" s="10">
        <f t="shared" si="1"/>
        <v>5520</v>
      </c>
    </row>
    <row r="13" spans="1:17" ht="15.75" customHeight="1" x14ac:dyDescent="0.35">
      <c r="A13" s="29">
        <v>45660</v>
      </c>
      <c r="B13" s="30" t="s">
        <v>42</v>
      </c>
      <c r="C13" s="31" t="str">
        <f>VLOOKUP(B13,'Kode Data'!$B$3:$C$23,2,0)</f>
        <v>Calcium Propionate</v>
      </c>
      <c r="D13" s="30" t="str">
        <f>VLOOKUP(LEFT(B13,2),'Kode Data'!$E$3:$G$6,3,0)</f>
        <v>Bahan Tambahan</v>
      </c>
      <c r="E13" s="31" t="s">
        <v>95</v>
      </c>
      <c r="F13" s="30">
        <v>50</v>
      </c>
      <c r="G13" s="30">
        <v>0</v>
      </c>
      <c r="H13" s="30">
        <v>200</v>
      </c>
      <c r="I13" s="30">
        <v>250</v>
      </c>
      <c r="J13" s="30" t="s">
        <v>87</v>
      </c>
      <c r="K13" s="32" t="s">
        <v>96</v>
      </c>
      <c r="M13" s="5" t="s">
        <v>50</v>
      </c>
      <c r="N13" s="9" t="str">
        <f>VLOOKUP(M13,Barang,2,0)</f>
        <v>Plastik Kemasan 1 Kg</v>
      </c>
      <c r="O13" s="10">
        <f>SUMIF($B$2:$B$949,M13,$F$2:$F$949)+5000</f>
        <v>29000</v>
      </c>
      <c r="P13" s="10">
        <f t="shared" si="0"/>
        <v>11900</v>
      </c>
      <c r="Q13" s="10">
        <f t="shared" si="1"/>
        <v>17100</v>
      </c>
    </row>
    <row r="14" spans="1:17" ht="15.75" customHeight="1" x14ac:dyDescent="0.35">
      <c r="A14" s="29">
        <v>45660</v>
      </c>
      <c r="B14" s="30" t="s">
        <v>68</v>
      </c>
      <c r="C14" s="31" t="str">
        <f>VLOOKUP(B14,'Kode Data'!$B$3:$C$23,2,0)</f>
        <v>Tepung Terigu Khusus Kue</v>
      </c>
      <c r="D14" s="30" t="str">
        <f>VLOOKUP(LEFT(B14,2),'Kode Data'!$E$3:$G$6,3,0)</f>
        <v>Produk</v>
      </c>
      <c r="E14" s="31" t="s">
        <v>89</v>
      </c>
      <c r="F14" s="30">
        <v>600</v>
      </c>
      <c r="G14" s="30">
        <v>0</v>
      </c>
      <c r="H14" s="30">
        <v>1200</v>
      </c>
      <c r="I14" s="30">
        <v>1800</v>
      </c>
      <c r="J14" s="30" t="s">
        <v>80</v>
      </c>
      <c r="K14" s="32" t="s">
        <v>81</v>
      </c>
      <c r="M14" s="5" t="s">
        <v>52</v>
      </c>
      <c r="N14" s="9" t="str">
        <f>VLOOKUP(M14,Barang,2,0)</f>
        <v>Plastik Kemasan 500 gr</v>
      </c>
      <c r="O14" s="10">
        <f>SUMIF($B$2:$B$949,M14,$F$2:$F$949)+5000</f>
        <v>12700</v>
      </c>
      <c r="P14" s="10">
        <f t="shared" si="0"/>
        <v>3350</v>
      </c>
      <c r="Q14" s="10">
        <f t="shared" si="1"/>
        <v>9350</v>
      </c>
    </row>
    <row r="15" spans="1:17" ht="15.75" customHeight="1" x14ac:dyDescent="0.35">
      <c r="A15" s="29">
        <v>45660</v>
      </c>
      <c r="B15" s="30" t="s">
        <v>46</v>
      </c>
      <c r="C15" s="31" t="str">
        <f>VLOOKUP(B15,'Kode Data'!$B$3:$C$23,2,0)</f>
        <v>Karung Kemasan 25 Kg</v>
      </c>
      <c r="D15" s="30" t="str">
        <f>VLOOKUP(LEFT(B15,2),'Kode Data'!$E$3:$G$6,3,0)</f>
        <v>Kemasan</v>
      </c>
      <c r="E15" s="31" t="s">
        <v>86</v>
      </c>
      <c r="F15" s="30">
        <v>0</v>
      </c>
      <c r="G15" s="30">
        <v>200</v>
      </c>
      <c r="H15" s="30">
        <v>1500</v>
      </c>
      <c r="I15" s="30">
        <v>1300</v>
      </c>
      <c r="J15" s="30" t="s">
        <v>80</v>
      </c>
      <c r="K15" s="32" t="s">
        <v>93</v>
      </c>
      <c r="M15" s="5" t="s">
        <v>54</v>
      </c>
      <c r="N15" s="9" t="str">
        <f>VLOOKUP(M15,Barang,2,0)</f>
        <v>Karton Box</v>
      </c>
      <c r="O15" s="10">
        <f>SUMIF($B$2:$B$949,M15,$F$2:$F$949)+5000</f>
        <v>26200</v>
      </c>
      <c r="P15" s="10">
        <f t="shared" si="0"/>
        <v>11750</v>
      </c>
      <c r="Q15" s="10">
        <f t="shared" si="1"/>
        <v>14450</v>
      </c>
    </row>
    <row r="16" spans="1:17" ht="15.75" customHeight="1" x14ac:dyDescent="0.35">
      <c r="A16" s="33">
        <v>45660</v>
      </c>
      <c r="B16" s="30" t="s">
        <v>54</v>
      </c>
      <c r="C16" s="31" t="str">
        <f>VLOOKUP(B16,'Kode Data'!$B$3:$C$23,2,0)</f>
        <v>Karton Box</v>
      </c>
      <c r="D16" s="30" t="str">
        <f>VLOOKUP(LEFT(B16,2),'Kode Data'!$E$3:$G$6,3,0)</f>
        <v>Kemasan</v>
      </c>
      <c r="E16" s="31" t="s">
        <v>97</v>
      </c>
      <c r="F16" s="30">
        <v>1000</v>
      </c>
      <c r="G16" s="30">
        <v>0</v>
      </c>
      <c r="H16" s="30">
        <v>5000</v>
      </c>
      <c r="I16" s="30">
        <v>6000</v>
      </c>
      <c r="J16" s="30" t="s">
        <v>80</v>
      </c>
      <c r="K16" s="32" t="s">
        <v>85</v>
      </c>
      <c r="M16" s="5" t="s">
        <v>56</v>
      </c>
      <c r="N16" s="9" t="str">
        <f>VLOOKUP(M16,Barang,2,0)</f>
        <v>Label Produk</v>
      </c>
      <c r="O16" s="10">
        <f>SUMIF($B$2:$B$949,M16,$F$2:$F$949)+1000</f>
        <v>11800</v>
      </c>
      <c r="P16" s="10">
        <f t="shared" si="0"/>
        <v>9600</v>
      </c>
      <c r="Q16" s="10">
        <f t="shared" si="1"/>
        <v>2200</v>
      </c>
    </row>
    <row r="17" spans="1:17" ht="15.75" customHeight="1" x14ac:dyDescent="0.35">
      <c r="A17" s="33">
        <v>45660</v>
      </c>
      <c r="B17" s="30" t="s">
        <v>9</v>
      </c>
      <c r="C17" s="31" t="str">
        <f>VLOOKUP(B17,'Kode Data'!$B$3:$C$23,2,0)</f>
        <v>Gandum Soft Wheat</v>
      </c>
      <c r="D17" s="30" t="str">
        <f>VLOOKUP(LEFT(B17,2),'Kode Data'!$E$3:$G$6,3,0)</f>
        <v>Bahan Baku</v>
      </c>
      <c r="E17" s="31" t="s">
        <v>98</v>
      </c>
      <c r="F17" s="30">
        <v>500</v>
      </c>
      <c r="G17" s="30">
        <v>0</v>
      </c>
      <c r="H17" s="30">
        <v>1000</v>
      </c>
      <c r="I17" s="30">
        <v>1500</v>
      </c>
      <c r="J17" s="30" t="s">
        <v>87</v>
      </c>
      <c r="K17" s="32" t="s">
        <v>88</v>
      </c>
      <c r="M17" s="5" t="s">
        <v>58</v>
      </c>
      <c r="N17" s="9" t="str">
        <f>VLOOKUP(M17,Barang,2,0)</f>
        <v>Pallet Kayu</v>
      </c>
      <c r="O17" s="10">
        <f>SUMIF($B$2:$B$949,M17,$F$2:$F$949)+100</f>
        <v>1380</v>
      </c>
      <c r="P17" s="10">
        <f t="shared" si="0"/>
        <v>1030</v>
      </c>
      <c r="Q17" s="10">
        <f t="shared" si="1"/>
        <v>350</v>
      </c>
    </row>
    <row r="18" spans="1:17" ht="15.75" customHeight="1" x14ac:dyDescent="0.35">
      <c r="A18" s="29">
        <v>45661</v>
      </c>
      <c r="B18" s="30" t="s">
        <v>64</v>
      </c>
      <c r="C18" s="31" t="str">
        <f>VLOOKUP(B18,'Kode Data'!$B$3:$C$23,2,0)</f>
        <v>Tepung Terigu Protein Rendah</v>
      </c>
      <c r="D18" s="30" t="str">
        <f>VLOOKUP(LEFT(B18,2),'Kode Data'!$E$3:$G$6,3,0)</f>
        <v>Produk</v>
      </c>
      <c r="E18" s="31" t="s">
        <v>82</v>
      </c>
      <c r="F18" s="30">
        <v>600</v>
      </c>
      <c r="G18" s="30">
        <v>0</v>
      </c>
      <c r="H18" s="30">
        <v>1100</v>
      </c>
      <c r="I18" s="30">
        <v>1700</v>
      </c>
      <c r="J18" s="30" t="s">
        <v>80</v>
      </c>
      <c r="K18" s="32" t="s">
        <v>81</v>
      </c>
      <c r="M18" s="5" t="s">
        <v>60</v>
      </c>
      <c r="N18" s="9" t="str">
        <f>VLOOKUP(M18,Barang,2,0)</f>
        <v>Tepung Terigu Protein Tinggi</v>
      </c>
      <c r="O18" s="10">
        <f>SUMIF($B$2:$B$949,M18,$F$2:$F$949)+300</f>
        <v>15700</v>
      </c>
      <c r="P18" s="10">
        <f t="shared" si="0"/>
        <v>13600</v>
      </c>
      <c r="Q18" s="10">
        <f t="shared" si="1"/>
        <v>2100</v>
      </c>
    </row>
    <row r="19" spans="1:17" ht="15.75" customHeight="1" x14ac:dyDescent="0.35">
      <c r="A19" s="29">
        <v>45661</v>
      </c>
      <c r="B19" s="30" t="s">
        <v>66</v>
      </c>
      <c r="C19" s="31" t="str">
        <f>VLOOKUP(B19,'Kode Data'!$B$3:$C$23,2,0)</f>
        <v>Tepung Terigu Khusus Roti</v>
      </c>
      <c r="D19" s="30" t="str">
        <f>VLOOKUP(LEFT(B19,2),'Kode Data'!$E$3:$G$6,3,0)</f>
        <v>Produk</v>
      </c>
      <c r="E19" s="31" t="s">
        <v>79</v>
      </c>
      <c r="F19" s="30">
        <v>600</v>
      </c>
      <c r="G19" s="30">
        <v>0</v>
      </c>
      <c r="H19" s="30">
        <v>1100</v>
      </c>
      <c r="I19" s="30">
        <v>1700</v>
      </c>
      <c r="J19" s="30" t="s">
        <v>80</v>
      </c>
      <c r="K19" s="32" t="s">
        <v>81</v>
      </c>
      <c r="M19" s="5" t="s">
        <v>62</v>
      </c>
      <c r="N19" s="9" t="str">
        <f>VLOOKUP(M19,Barang,2,0)</f>
        <v>Tepung Terigu Serbaguna</v>
      </c>
      <c r="O19" s="10">
        <f>SUMIF($B$2:$B$949,M19,$F$2:$F$949)+300</f>
        <v>17700</v>
      </c>
      <c r="P19" s="10">
        <f t="shared" si="0"/>
        <v>14600</v>
      </c>
      <c r="Q19" s="10">
        <f t="shared" si="1"/>
        <v>3100</v>
      </c>
    </row>
    <row r="20" spans="1:17" ht="15.75" customHeight="1" x14ac:dyDescent="0.35">
      <c r="A20" s="29">
        <v>45661</v>
      </c>
      <c r="B20" s="30" t="s">
        <v>50</v>
      </c>
      <c r="C20" s="31" t="str">
        <f>VLOOKUP(B20,'Kode Data'!$B$3:$C$23,2,0)</f>
        <v>Plastik Kemasan 1 Kg</v>
      </c>
      <c r="D20" s="30" t="str">
        <f>VLOOKUP(LEFT(B20,2),'Kode Data'!$E$3:$G$6,3,0)</f>
        <v>Kemasan</v>
      </c>
      <c r="E20" s="31" t="s">
        <v>99</v>
      </c>
      <c r="F20" s="30">
        <v>1200</v>
      </c>
      <c r="G20" s="30">
        <v>0</v>
      </c>
      <c r="H20" s="30">
        <v>5700</v>
      </c>
      <c r="I20" s="30">
        <v>6900</v>
      </c>
      <c r="J20" s="30" t="s">
        <v>80</v>
      </c>
      <c r="K20" s="32" t="s">
        <v>85</v>
      </c>
      <c r="M20" s="5" t="s">
        <v>64</v>
      </c>
      <c r="N20" s="9" t="str">
        <f>VLOOKUP(M20,Barang,2,0)</f>
        <v>Tepung Terigu Protein Rendah</v>
      </c>
      <c r="O20" s="10">
        <f>SUMIF($B$2:$B$949,M20,$F$2:$F$949)+1000</f>
        <v>15400</v>
      </c>
      <c r="P20" s="10">
        <f t="shared" si="0"/>
        <v>12600</v>
      </c>
      <c r="Q20" s="10">
        <f t="shared" si="1"/>
        <v>2800</v>
      </c>
    </row>
    <row r="21" spans="1:17" ht="15.75" customHeight="1" x14ac:dyDescent="0.35">
      <c r="A21" s="33">
        <v>45661</v>
      </c>
      <c r="B21" s="30" t="s">
        <v>4</v>
      </c>
      <c r="C21" s="31" t="str">
        <f>VLOOKUP(B21,'Kode Data'!$B$3:$C$23,2,0)</f>
        <v>Gandum Hard Wheat</v>
      </c>
      <c r="D21" s="30" t="str">
        <f>VLOOKUP(LEFT(B21,2),'Kode Data'!$E$3:$G$6,3,0)</f>
        <v>Bahan Baku</v>
      </c>
      <c r="E21" s="31" t="s">
        <v>89</v>
      </c>
      <c r="F21" s="30">
        <v>500</v>
      </c>
      <c r="G21" s="30">
        <v>0</v>
      </c>
      <c r="H21" s="30">
        <v>1000</v>
      </c>
      <c r="I21" s="30">
        <v>1500</v>
      </c>
      <c r="J21" s="30" t="s">
        <v>87</v>
      </c>
      <c r="K21" s="32" t="s">
        <v>88</v>
      </c>
      <c r="M21" s="5" t="s">
        <v>66</v>
      </c>
      <c r="N21" s="9" t="str">
        <f>VLOOKUP(M21,Barang,2,0)</f>
        <v>Tepung Terigu Khusus Roti</v>
      </c>
      <c r="O21" s="10">
        <f>SUMIF($B$2:$B$949,M21,$F$2:$F$949)+1000</f>
        <v>5750</v>
      </c>
      <c r="P21" s="10">
        <f t="shared" si="0"/>
        <v>3900</v>
      </c>
      <c r="Q21" s="10">
        <f t="shared" si="1"/>
        <v>1850</v>
      </c>
    </row>
    <row r="22" spans="1:17" ht="15.75" customHeight="1" x14ac:dyDescent="0.35">
      <c r="A22" s="29">
        <v>45662</v>
      </c>
      <c r="B22" s="30" t="s">
        <v>26</v>
      </c>
      <c r="C22" s="31" t="str">
        <f>VLOOKUP(B22,'Kode Data'!$B$3:$C$23,2,0)</f>
        <v>Enzim Baking</v>
      </c>
      <c r="D22" s="30" t="str">
        <f>VLOOKUP(LEFT(B22,2),'Kode Data'!$E$3:$G$6,3,0)</f>
        <v>Bahan Tambahan</v>
      </c>
      <c r="E22" s="31" t="s">
        <v>100</v>
      </c>
      <c r="F22" s="30">
        <v>120</v>
      </c>
      <c r="G22" s="30">
        <v>0</v>
      </c>
      <c r="H22" s="30">
        <v>200</v>
      </c>
      <c r="I22" s="30">
        <v>320</v>
      </c>
      <c r="J22" s="30" t="s">
        <v>87</v>
      </c>
      <c r="K22" s="32" t="s">
        <v>96</v>
      </c>
      <c r="M22" s="5" t="s">
        <v>68</v>
      </c>
      <c r="N22" s="9" t="str">
        <f>VLOOKUP(M22,Barang,2,0)</f>
        <v>Tepung Terigu Khusus Kue</v>
      </c>
      <c r="O22" s="10">
        <f>SUMIF($B$2:$B$949,M22,$F$2:$F$949)+1000</f>
        <v>14600</v>
      </c>
      <c r="P22" s="10">
        <f t="shared" si="0"/>
        <v>10850</v>
      </c>
      <c r="Q22" s="10">
        <f t="shared" si="1"/>
        <v>3750</v>
      </c>
    </row>
    <row r="23" spans="1:17" ht="14.5" x14ac:dyDescent="0.35">
      <c r="A23" s="29">
        <v>45662</v>
      </c>
      <c r="B23" s="30" t="s">
        <v>30</v>
      </c>
      <c r="C23" s="31" t="str">
        <f>VLOOKUP(B23,'Kode Data'!$B$3:$C$23,2,0)</f>
        <v>Vitamin Fortifikasi</v>
      </c>
      <c r="D23" s="30" t="str">
        <f>VLOOKUP(LEFT(B23,2),'Kode Data'!$E$3:$G$6,3,0)</f>
        <v>Bahan Tambahan</v>
      </c>
      <c r="E23" s="31" t="s">
        <v>101</v>
      </c>
      <c r="F23" s="30">
        <v>120</v>
      </c>
      <c r="G23" s="30">
        <v>0</v>
      </c>
      <c r="H23" s="30">
        <v>200</v>
      </c>
      <c r="I23" s="30">
        <v>320</v>
      </c>
      <c r="J23" s="30" t="s">
        <v>87</v>
      </c>
      <c r="K23" s="32" t="s">
        <v>96</v>
      </c>
      <c r="M23" s="12" t="s">
        <v>386</v>
      </c>
      <c r="N23" s="13"/>
      <c r="O23" s="10">
        <f>SUM(O2:O22)</f>
        <v>226155</v>
      </c>
      <c r="P23" s="11">
        <f>SUM(P2:P22)</f>
        <v>146895</v>
      </c>
      <c r="Q23" s="11">
        <f>SUM(Q2:Q22)</f>
        <v>79260</v>
      </c>
    </row>
    <row r="24" spans="1:17" ht="14.5" x14ac:dyDescent="0.35">
      <c r="A24" s="29">
        <v>45662</v>
      </c>
      <c r="B24" s="30" t="s">
        <v>34</v>
      </c>
      <c r="C24" s="31" t="str">
        <f>VLOOKUP(B24,'Kode Data'!$B$3:$C$23,2,0)</f>
        <v>Tepung Premix</v>
      </c>
      <c r="D24" s="30" t="str">
        <f>VLOOKUP(LEFT(B24,2),'Kode Data'!$E$3:$G$6,3,0)</f>
        <v>Bahan Tambahan</v>
      </c>
      <c r="E24" s="31" t="s">
        <v>82</v>
      </c>
      <c r="F24" s="30">
        <v>200</v>
      </c>
      <c r="G24" s="30">
        <v>0</v>
      </c>
      <c r="H24" s="30">
        <v>500</v>
      </c>
      <c r="I24" s="30">
        <v>700</v>
      </c>
      <c r="J24" s="30" t="s">
        <v>87</v>
      </c>
      <c r="K24" s="32" t="s">
        <v>96</v>
      </c>
    </row>
    <row r="25" spans="1:17" ht="14.5" x14ac:dyDescent="0.35">
      <c r="A25" s="29">
        <v>45662</v>
      </c>
      <c r="B25" s="30" t="s">
        <v>38</v>
      </c>
      <c r="C25" s="31" t="str">
        <f>VLOOKUP(B25,'Kode Data'!$B$3:$C$23,2,0)</f>
        <v>Improver Tepung</v>
      </c>
      <c r="D25" s="30" t="str">
        <f>VLOOKUP(LEFT(B25,2),'Kode Data'!$E$3:$G$6,3,0)</f>
        <v>Bahan Tambahan</v>
      </c>
      <c r="E25" s="31" t="s">
        <v>95</v>
      </c>
      <c r="F25" s="30">
        <v>120</v>
      </c>
      <c r="G25" s="30">
        <v>0</v>
      </c>
      <c r="H25" s="30">
        <v>200</v>
      </c>
      <c r="I25" s="30">
        <v>320</v>
      </c>
      <c r="J25" s="30" t="s">
        <v>87</v>
      </c>
      <c r="K25" s="32" t="s">
        <v>96</v>
      </c>
      <c r="N25" s="7"/>
    </row>
    <row r="26" spans="1:17" ht="14.5" x14ac:dyDescent="0.35">
      <c r="A26" s="29">
        <v>45662</v>
      </c>
      <c r="B26" s="30" t="s">
        <v>60</v>
      </c>
      <c r="C26" s="31" t="str">
        <f>VLOOKUP(B26,'Kode Data'!$B$3:$C$23,2,0)</f>
        <v>Tepung Terigu Protein Tinggi</v>
      </c>
      <c r="D26" s="30" t="str">
        <f>VLOOKUP(LEFT(B26,2),'Kode Data'!$E$3:$G$6,3,0)</f>
        <v>Produk</v>
      </c>
      <c r="E26" s="31" t="s">
        <v>102</v>
      </c>
      <c r="F26" s="30">
        <v>600</v>
      </c>
      <c r="G26" s="30">
        <v>0</v>
      </c>
      <c r="H26" s="30">
        <v>300</v>
      </c>
      <c r="I26" s="30">
        <v>900</v>
      </c>
      <c r="J26" s="30" t="s">
        <v>80</v>
      </c>
      <c r="K26" s="32" t="s">
        <v>81</v>
      </c>
      <c r="N26" s="7"/>
    </row>
    <row r="27" spans="1:17" ht="14.5" x14ac:dyDescent="0.35">
      <c r="A27" s="29">
        <v>45662</v>
      </c>
      <c r="B27" s="30" t="s">
        <v>62</v>
      </c>
      <c r="C27" s="31" t="str">
        <f>VLOOKUP(B27,'Kode Data'!$B$3:$C$23,2,0)</f>
        <v>Tepung Terigu Serbaguna</v>
      </c>
      <c r="D27" s="30" t="str">
        <f>VLOOKUP(LEFT(B27,2),'Kode Data'!$E$3:$G$6,3,0)</f>
        <v>Produk</v>
      </c>
      <c r="E27" s="31" t="s">
        <v>82</v>
      </c>
      <c r="F27" s="30">
        <v>500</v>
      </c>
      <c r="G27" s="30">
        <v>0</v>
      </c>
      <c r="H27" s="30">
        <v>300</v>
      </c>
      <c r="I27" s="30">
        <v>800</v>
      </c>
      <c r="J27" s="30" t="s">
        <v>80</v>
      </c>
      <c r="K27" s="32" t="s">
        <v>81</v>
      </c>
      <c r="N27" s="7"/>
    </row>
    <row r="28" spans="1:17" ht="14.5" x14ac:dyDescent="0.35">
      <c r="A28" s="29">
        <v>45662</v>
      </c>
      <c r="B28" s="30" t="s">
        <v>64</v>
      </c>
      <c r="C28" s="31" t="str">
        <f>VLOOKUP(B28,'Kode Data'!$B$3:$C$23,2,0)</f>
        <v>Tepung Terigu Protein Rendah</v>
      </c>
      <c r="D28" s="30" t="str">
        <f>VLOOKUP(LEFT(B28,2),'Kode Data'!$E$3:$G$6,3,0)</f>
        <v>Produk</v>
      </c>
      <c r="E28" s="31" t="s">
        <v>79</v>
      </c>
      <c r="F28" s="30">
        <v>0</v>
      </c>
      <c r="G28" s="30">
        <v>500</v>
      </c>
      <c r="H28" s="30">
        <v>1700</v>
      </c>
      <c r="I28" s="30">
        <v>1200</v>
      </c>
      <c r="J28" s="30" t="s">
        <v>80</v>
      </c>
      <c r="K28" s="32" t="s">
        <v>90</v>
      </c>
      <c r="N28" s="7"/>
    </row>
    <row r="29" spans="1:17" ht="14.5" x14ac:dyDescent="0.35">
      <c r="A29" s="29">
        <v>45662</v>
      </c>
      <c r="B29" s="30" t="s">
        <v>68</v>
      </c>
      <c r="C29" s="31" t="str">
        <f>VLOOKUP(B29,'Kode Data'!$B$3:$C$23,2,0)</f>
        <v>Tepung Terigu Khusus Kue</v>
      </c>
      <c r="D29" s="30" t="str">
        <f>VLOOKUP(LEFT(B29,2),'Kode Data'!$E$3:$G$6,3,0)</f>
        <v>Produk</v>
      </c>
      <c r="E29" s="31" t="s">
        <v>83</v>
      </c>
      <c r="F29" s="30">
        <v>0</v>
      </c>
      <c r="G29" s="30">
        <v>400</v>
      </c>
      <c r="H29" s="30">
        <v>1800</v>
      </c>
      <c r="I29" s="30">
        <v>1400</v>
      </c>
      <c r="J29" s="30" t="s">
        <v>80</v>
      </c>
      <c r="K29" s="32" t="s">
        <v>90</v>
      </c>
      <c r="N29" s="7"/>
    </row>
    <row r="30" spans="1:17" ht="14.5" x14ac:dyDescent="0.35">
      <c r="A30" s="29">
        <v>45662</v>
      </c>
      <c r="B30" s="30" t="s">
        <v>46</v>
      </c>
      <c r="C30" s="31" t="str">
        <f>VLOOKUP(B30,'Kode Data'!$B$3:$C$23,2,0)</f>
        <v>Karung Kemasan 25 Kg</v>
      </c>
      <c r="D30" s="30" t="str">
        <f>VLOOKUP(LEFT(B30,2),'Kode Data'!$E$3:$G$6,3,0)</f>
        <v>Kemasan</v>
      </c>
      <c r="E30" s="31" t="s">
        <v>97</v>
      </c>
      <c r="F30" s="30">
        <v>300</v>
      </c>
      <c r="G30" s="30">
        <v>0</v>
      </c>
      <c r="H30" s="30">
        <v>1300</v>
      </c>
      <c r="I30" s="30">
        <v>1600</v>
      </c>
      <c r="J30" s="30" t="s">
        <v>80</v>
      </c>
      <c r="K30" s="32" t="s">
        <v>85</v>
      </c>
      <c r="N30" s="7"/>
    </row>
    <row r="31" spans="1:17" ht="14.5" x14ac:dyDescent="0.35">
      <c r="A31" s="33">
        <v>45662</v>
      </c>
      <c r="B31" s="30" t="s">
        <v>14</v>
      </c>
      <c r="C31" s="31" t="str">
        <f>VLOOKUP(B31,'Kode Data'!$B$3:$C$23,2,0)</f>
        <v>Gandum Durum</v>
      </c>
      <c r="D31" s="30" t="str">
        <f>VLOOKUP(LEFT(B31,2),'Kode Data'!$E$3:$G$6,3,0)</f>
        <v>Bahan Baku</v>
      </c>
      <c r="E31" s="31" t="s">
        <v>89</v>
      </c>
      <c r="F31" s="30">
        <v>400</v>
      </c>
      <c r="G31" s="30">
        <v>0</v>
      </c>
      <c r="H31" s="30">
        <v>1000</v>
      </c>
      <c r="I31" s="30">
        <v>1400</v>
      </c>
      <c r="J31" s="30" t="s">
        <v>87</v>
      </c>
      <c r="K31" s="32" t="s">
        <v>88</v>
      </c>
      <c r="N31" s="7"/>
    </row>
    <row r="32" spans="1:17" ht="14.5" x14ac:dyDescent="0.35">
      <c r="A32" s="29">
        <v>45663</v>
      </c>
      <c r="B32" s="30" t="s">
        <v>50</v>
      </c>
      <c r="C32" s="31" t="str">
        <f>VLOOKUP(B32,'Kode Data'!$B$3:$C$23,2,0)</f>
        <v>Plastik Kemasan 1 Kg</v>
      </c>
      <c r="D32" s="30" t="str">
        <f>VLOOKUP(LEFT(B32,2),'Kode Data'!$E$3:$G$6,3,0)</f>
        <v>Kemasan</v>
      </c>
      <c r="E32" s="31" t="s">
        <v>86</v>
      </c>
      <c r="F32" s="30">
        <v>0</v>
      </c>
      <c r="G32" s="30">
        <v>400</v>
      </c>
      <c r="H32" s="30">
        <v>6900</v>
      </c>
      <c r="I32" s="30">
        <v>6500</v>
      </c>
      <c r="J32" s="30" t="s">
        <v>80</v>
      </c>
      <c r="K32" s="32" t="s">
        <v>93</v>
      </c>
      <c r="N32" s="7"/>
    </row>
    <row r="33" spans="1:14" ht="14.5" x14ac:dyDescent="0.35">
      <c r="A33" s="33">
        <v>45663</v>
      </c>
      <c r="B33" s="30" t="s">
        <v>56</v>
      </c>
      <c r="C33" s="31" t="str">
        <f>VLOOKUP(B33,'Kode Data'!$B$3:$C$23,2,0)</f>
        <v>Label Produk</v>
      </c>
      <c r="D33" s="30" t="str">
        <f>VLOOKUP(LEFT(B33,2),'Kode Data'!$E$3:$G$6,3,0)</f>
        <v>Kemasan</v>
      </c>
      <c r="E33" s="31" t="s">
        <v>103</v>
      </c>
      <c r="F33" s="30">
        <v>500</v>
      </c>
      <c r="G33" s="30">
        <v>0</v>
      </c>
      <c r="H33" s="30">
        <v>1000</v>
      </c>
      <c r="I33" s="30">
        <v>1500</v>
      </c>
      <c r="J33" s="30" t="s">
        <v>80</v>
      </c>
      <c r="K33" s="32" t="s">
        <v>85</v>
      </c>
      <c r="N33" s="7"/>
    </row>
    <row r="34" spans="1:14" ht="14.5" x14ac:dyDescent="0.35">
      <c r="A34" s="29">
        <v>45664</v>
      </c>
      <c r="B34" s="30" t="s">
        <v>64</v>
      </c>
      <c r="C34" s="31" t="str">
        <f>VLOOKUP(B34,'Kode Data'!$B$3:$C$23,2,0)</f>
        <v>Tepung Terigu Protein Rendah</v>
      </c>
      <c r="D34" s="30" t="str">
        <f>VLOOKUP(LEFT(B34,2),'Kode Data'!$E$3:$G$6,3,0)</f>
        <v>Produk</v>
      </c>
      <c r="E34" s="31" t="s">
        <v>89</v>
      </c>
      <c r="F34" s="30">
        <v>400</v>
      </c>
      <c r="G34" s="30">
        <v>0</v>
      </c>
      <c r="H34" s="30">
        <v>1200</v>
      </c>
      <c r="I34" s="30">
        <v>1600</v>
      </c>
      <c r="J34" s="30" t="s">
        <v>80</v>
      </c>
      <c r="K34" s="32" t="s">
        <v>81</v>
      </c>
      <c r="N34" s="7"/>
    </row>
    <row r="35" spans="1:14" ht="14.5" x14ac:dyDescent="0.35">
      <c r="A35" s="29">
        <v>45664</v>
      </c>
      <c r="B35" s="30" t="s">
        <v>68</v>
      </c>
      <c r="C35" s="31" t="str">
        <f>VLOOKUP(B35,'Kode Data'!$B$3:$C$23,2,0)</f>
        <v>Tepung Terigu Khusus Kue</v>
      </c>
      <c r="D35" s="30" t="str">
        <f>VLOOKUP(LEFT(B35,2),'Kode Data'!$E$3:$G$6,3,0)</f>
        <v>Produk</v>
      </c>
      <c r="E35" s="31" t="s">
        <v>91</v>
      </c>
      <c r="F35" s="30">
        <v>550</v>
      </c>
      <c r="G35" s="30">
        <v>0</v>
      </c>
      <c r="H35" s="30">
        <v>1400</v>
      </c>
      <c r="I35" s="30">
        <v>1950</v>
      </c>
      <c r="J35" s="30" t="s">
        <v>80</v>
      </c>
      <c r="K35" s="32" t="s">
        <v>81</v>
      </c>
      <c r="N35" s="7"/>
    </row>
    <row r="36" spans="1:14" ht="14.5" x14ac:dyDescent="0.35">
      <c r="A36" s="29">
        <v>45664</v>
      </c>
      <c r="B36" s="30" t="s">
        <v>46</v>
      </c>
      <c r="C36" s="31" t="str">
        <f>VLOOKUP(B36,'Kode Data'!$B$3:$C$23,2,0)</f>
        <v>Karung Kemasan 25 Kg</v>
      </c>
      <c r="D36" s="30" t="str">
        <f>VLOOKUP(LEFT(B36,2),'Kode Data'!$E$3:$G$6,3,0)</f>
        <v>Kemasan</v>
      </c>
      <c r="E36" s="31" t="s">
        <v>84</v>
      </c>
      <c r="F36" s="30">
        <v>0</v>
      </c>
      <c r="G36" s="30">
        <v>150</v>
      </c>
      <c r="H36" s="30">
        <v>1600</v>
      </c>
      <c r="I36" s="30">
        <v>1450</v>
      </c>
      <c r="J36" s="30" t="s">
        <v>80</v>
      </c>
      <c r="K36" s="32" t="s">
        <v>93</v>
      </c>
      <c r="N36" s="7"/>
    </row>
    <row r="37" spans="1:14" ht="14.5" x14ac:dyDescent="0.35">
      <c r="A37" s="33">
        <v>45664</v>
      </c>
      <c r="B37" s="30" t="s">
        <v>19</v>
      </c>
      <c r="C37" s="31" t="str">
        <f>VLOOKUP(B37,'Kode Data'!$B$3:$C$23,2,0)</f>
        <v>Bran Gandum</v>
      </c>
      <c r="D37" s="30" t="str">
        <f>VLOOKUP(LEFT(B37,2),'Kode Data'!$E$3:$G$6,3,0)</f>
        <v>Bahan Baku</v>
      </c>
      <c r="E37" s="31" t="s">
        <v>79</v>
      </c>
      <c r="F37" s="30">
        <v>400</v>
      </c>
      <c r="G37" s="30">
        <v>0</v>
      </c>
      <c r="H37" s="30">
        <v>500</v>
      </c>
      <c r="I37" s="30">
        <v>900</v>
      </c>
      <c r="J37" s="30" t="s">
        <v>87</v>
      </c>
      <c r="K37" s="32" t="s">
        <v>88</v>
      </c>
      <c r="N37" s="7"/>
    </row>
    <row r="38" spans="1:14" ht="14.5" x14ac:dyDescent="0.35">
      <c r="A38" s="29">
        <v>45665</v>
      </c>
      <c r="B38" s="30" t="s">
        <v>64</v>
      </c>
      <c r="C38" s="31" t="str">
        <f>VLOOKUP(B38,'Kode Data'!$B$3:$C$23,2,0)</f>
        <v>Tepung Terigu Protein Rendah</v>
      </c>
      <c r="D38" s="30" t="str">
        <f>VLOOKUP(LEFT(B38,2),'Kode Data'!$E$3:$G$6,3,0)</f>
        <v>Produk</v>
      </c>
      <c r="E38" s="31" t="s">
        <v>82</v>
      </c>
      <c r="F38" s="30">
        <v>0</v>
      </c>
      <c r="G38" s="30">
        <v>350</v>
      </c>
      <c r="H38" s="30">
        <v>1600</v>
      </c>
      <c r="I38" s="30">
        <v>1250</v>
      </c>
      <c r="J38" s="30" t="s">
        <v>80</v>
      </c>
      <c r="K38" s="32" t="s">
        <v>90</v>
      </c>
      <c r="N38" s="7"/>
    </row>
    <row r="39" spans="1:14" ht="14.5" x14ac:dyDescent="0.35">
      <c r="A39" s="29">
        <v>45665</v>
      </c>
      <c r="B39" s="30" t="s">
        <v>68</v>
      </c>
      <c r="C39" s="31" t="str">
        <f>VLOOKUP(B39,'Kode Data'!$B$3:$C$23,2,0)</f>
        <v>Tepung Terigu Khusus Kue</v>
      </c>
      <c r="D39" s="30" t="str">
        <f>VLOOKUP(LEFT(B39,2),'Kode Data'!$E$3:$G$6,3,0)</f>
        <v>Produk</v>
      </c>
      <c r="E39" s="31" t="s">
        <v>89</v>
      </c>
      <c r="F39" s="30">
        <v>0</v>
      </c>
      <c r="G39" s="30">
        <v>350</v>
      </c>
      <c r="H39" s="30">
        <v>1950</v>
      </c>
      <c r="I39" s="30">
        <v>1600</v>
      </c>
      <c r="J39" s="30" t="s">
        <v>80</v>
      </c>
      <c r="K39" s="32" t="s">
        <v>90</v>
      </c>
      <c r="N39" s="7"/>
    </row>
    <row r="40" spans="1:14" ht="14.5" x14ac:dyDescent="0.35">
      <c r="A40" s="29">
        <v>45665</v>
      </c>
      <c r="B40" s="30" t="s">
        <v>50</v>
      </c>
      <c r="C40" s="31" t="str">
        <f>VLOOKUP(B40,'Kode Data'!$B$3:$C$23,2,0)</f>
        <v>Plastik Kemasan 1 Kg</v>
      </c>
      <c r="D40" s="30" t="str">
        <f>VLOOKUP(LEFT(B40,2),'Kode Data'!$E$3:$G$6,3,0)</f>
        <v>Kemasan</v>
      </c>
      <c r="E40" s="31" t="s">
        <v>92</v>
      </c>
      <c r="F40" s="30">
        <v>800</v>
      </c>
      <c r="G40" s="30">
        <v>0</v>
      </c>
      <c r="H40" s="30">
        <v>6500</v>
      </c>
      <c r="I40" s="30">
        <v>7300</v>
      </c>
      <c r="J40" s="30" t="s">
        <v>80</v>
      </c>
      <c r="K40" s="32" t="s">
        <v>85</v>
      </c>
      <c r="N40" s="7"/>
    </row>
    <row r="41" spans="1:14" ht="14.5" x14ac:dyDescent="0.35">
      <c r="A41" s="29">
        <v>45666</v>
      </c>
      <c r="B41" s="30" t="s">
        <v>46</v>
      </c>
      <c r="C41" s="31" t="str">
        <f>VLOOKUP(B41,'Kode Data'!$B$3:$C$23,2,0)</f>
        <v>Karung Kemasan 25 Kg</v>
      </c>
      <c r="D41" s="30" t="str">
        <f>VLOOKUP(LEFT(B41,2),'Kode Data'!$E$3:$G$6,3,0)</f>
        <v>Kemasan</v>
      </c>
      <c r="E41" s="31" t="s">
        <v>84</v>
      </c>
      <c r="F41" s="30">
        <v>400</v>
      </c>
      <c r="G41" s="30">
        <v>0</v>
      </c>
      <c r="H41" s="30">
        <v>1450</v>
      </c>
      <c r="I41" s="30">
        <v>1850</v>
      </c>
      <c r="J41" s="30" t="s">
        <v>80</v>
      </c>
      <c r="K41" s="32" t="s">
        <v>85</v>
      </c>
      <c r="N41" s="7"/>
    </row>
    <row r="42" spans="1:14" ht="14.5" x14ac:dyDescent="0.35">
      <c r="A42" s="33">
        <v>45666</v>
      </c>
      <c r="B42" s="30" t="s">
        <v>9</v>
      </c>
      <c r="C42" s="31" t="str">
        <f>VLOOKUP(B42,'Kode Data'!$B$3:$C$23,2,0)</f>
        <v>Gandum Soft Wheat</v>
      </c>
      <c r="D42" s="30" t="str">
        <f>VLOOKUP(LEFT(B42,2),'Kode Data'!$E$3:$G$6,3,0)</f>
        <v>Bahan Baku</v>
      </c>
      <c r="E42" s="31" t="s">
        <v>79</v>
      </c>
      <c r="F42" s="30">
        <v>0</v>
      </c>
      <c r="G42" s="30">
        <v>250</v>
      </c>
      <c r="H42" s="30">
        <v>1500</v>
      </c>
      <c r="I42" s="30">
        <v>1250</v>
      </c>
      <c r="J42" s="30" t="s">
        <v>87</v>
      </c>
      <c r="K42" s="32" t="s">
        <v>104</v>
      </c>
      <c r="N42" s="7"/>
    </row>
    <row r="43" spans="1:14" ht="14.5" x14ac:dyDescent="0.35">
      <c r="A43" s="29">
        <v>45667</v>
      </c>
      <c r="B43" s="30" t="s">
        <v>64</v>
      </c>
      <c r="C43" s="31" t="str">
        <f>VLOOKUP(B43,'Kode Data'!$B$3:$C$23,2,0)</f>
        <v>Tepung Terigu Protein Rendah</v>
      </c>
      <c r="D43" s="30" t="str">
        <f>VLOOKUP(LEFT(B43,2),'Kode Data'!$E$3:$G$6,3,0)</f>
        <v>Produk</v>
      </c>
      <c r="E43" s="31" t="s">
        <v>79</v>
      </c>
      <c r="F43" s="30">
        <v>500</v>
      </c>
      <c r="G43" s="30">
        <v>0</v>
      </c>
      <c r="H43" s="30">
        <v>1250</v>
      </c>
      <c r="I43" s="30">
        <v>1750</v>
      </c>
      <c r="J43" s="30" t="s">
        <v>80</v>
      </c>
      <c r="K43" s="32" t="s">
        <v>81</v>
      </c>
      <c r="N43" s="7"/>
    </row>
    <row r="44" spans="1:14" ht="14.5" x14ac:dyDescent="0.35">
      <c r="A44" s="29">
        <v>45667</v>
      </c>
      <c r="B44" s="30" t="s">
        <v>68</v>
      </c>
      <c r="C44" s="31" t="str">
        <f>VLOOKUP(B44,'Kode Data'!$B$3:$C$23,2,0)</f>
        <v>Tepung Terigu Khusus Kue</v>
      </c>
      <c r="D44" s="30" t="str">
        <f>VLOOKUP(LEFT(B44,2),'Kode Data'!$E$3:$G$6,3,0)</f>
        <v>Produk</v>
      </c>
      <c r="E44" s="31" t="s">
        <v>83</v>
      </c>
      <c r="F44" s="30">
        <v>500</v>
      </c>
      <c r="G44" s="30">
        <v>0</v>
      </c>
      <c r="H44" s="30">
        <v>1600</v>
      </c>
      <c r="I44" s="30">
        <v>2100</v>
      </c>
      <c r="J44" s="30" t="s">
        <v>80</v>
      </c>
      <c r="K44" s="32" t="s">
        <v>81</v>
      </c>
      <c r="N44" s="7"/>
    </row>
    <row r="45" spans="1:14" ht="14.5" x14ac:dyDescent="0.35">
      <c r="A45" s="33">
        <v>45667</v>
      </c>
      <c r="B45" s="30" t="s">
        <v>4</v>
      </c>
      <c r="C45" s="31" t="str">
        <f>VLOOKUP(B45,'Kode Data'!$B$3:$C$23,2,0)</f>
        <v>Gandum Hard Wheat</v>
      </c>
      <c r="D45" s="30" t="str">
        <f>VLOOKUP(LEFT(B45,2),'Kode Data'!$E$3:$G$6,3,0)</f>
        <v>Bahan Baku</v>
      </c>
      <c r="E45" s="31" t="s">
        <v>79</v>
      </c>
      <c r="F45" s="30">
        <v>0</v>
      </c>
      <c r="G45" s="30">
        <v>300</v>
      </c>
      <c r="H45" s="30">
        <v>1500</v>
      </c>
      <c r="I45" s="30">
        <v>1200</v>
      </c>
      <c r="J45" s="30" t="s">
        <v>87</v>
      </c>
      <c r="K45" s="32" t="s">
        <v>104</v>
      </c>
      <c r="N45" s="7"/>
    </row>
    <row r="46" spans="1:14" ht="14.5" x14ac:dyDescent="0.35">
      <c r="A46" s="33">
        <v>45667</v>
      </c>
      <c r="B46" s="30" t="s">
        <v>24</v>
      </c>
      <c r="C46" s="31" t="str">
        <f>VLOOKUP(B46,'Kode Data'!$B$3:$C$23,2,0)</f>
        <v>Germ Gandum</v>
      </c>
      <c r="D46" s="30" t="str">
        <f>VLOOKUP(LEFT(B46,2),'Kode Data'!$E$3:$G$6,3,0)</f>
        <v>Bahan Baku</v>
      </c>
      <c r="E46" s="31" t="s">
        <v>79</v>
      </c>
      <c r="F46" s="30">
        <v>0</v>
      </c>
      <c r="G46" s="30">
        <v>120</v>
      </c>
      <c r="H46" s="30">
        <v>800</v>
      </c>
      <c r="I46" s="30">
        <v>680</v>
      </c>
      <c r="J46" s="30" t="s">
        <v>87</v>
      </c>
      <c r="K46" s="32" t="s">
        <v>104</v>
      </c>
      <c r="N46" s="7"/>
    </row>
    <row r="47" spans="1:14" ht="14.5" x14ac:dyDescent="0.35">
      <c r="A47" s="29">
        <v>45668</v>
      </c>
      <c r="B47" s="30" t="s">
        <v>64</v>
      </c>
      <c r="C47" s="31" t="str">
        <f>VLOOKUP(B47,'Kode Data'!$B$3:$C$23,2,0)</f>
        <v>Tepung Terigu Protein Rendah</v>
      </c>
      <c r="D47" s="30" t="str">
        <f>VLOOKUP(LEFT(B47,2),'Kode Data'!$E$3:$G$6,3,0)</f>
        <v>Produk</v>
      </c>
      <c r="E47" s="31" t="s">
        <v>89</v>
      </c>
      <c r="F47" s="30">
        <v>0</v>
      </c>
      <c r="G47" s="30">
        <v>400</v>
      </c>
      <c r="H47" s="30">
        <v>1750</v>
      </c>
      <c r="I47" s="30">
        <v>1350</v>
      </c>
      <c r="J47" s="30" t="s">
        <v>80</v>
      </c>
      <c r="K47" s="32" t="s">
        <v>90</v>
      </c>
      <c r="N47" s="7"/>
    </row>
    <row r="48" spans="1:14" ht="14.5" x14ac:dyDescent="0.35">
      <c r="A48" s="29">
        <v>45668</v>
      </c>
      <c r="B48" s="30" t="s">
        <v>50</v>
      </c>
      <c r="C48" s="31" t="str">
        <f>VLOOKUP(B48,'Kode Data'!$B$3:$C$23,2,0)</f>
        <v>Plastik Kemasan 1 Kg</v>
      </c>
      <c r="D48" s="30" t="str">
        <f>VLOOKUP(LEFT(B48,2),'Kode Data'!$E$3:$G$6,3,0)</f>
        <v>Kemasan</v>
      </c>
      <c r="E48" s="31" t="s">
        <v>99</v>
      </c>
      <c r="F48" s="30">
        <v>0</v>
      </c>
      <c r="G48" s="30">
        <v>350</v>
      </c>
      <c r="H48" s="30">
        <v>7300</v>
      </c>
      <c r="I48" s="30">
        <v>6950</v>
      </c>
      <c r="J48" s="30" t="s">
        <v>80</v>
      </c>
      <c r="K48" s="32" t="s">
        <v>93</v>
      </c>
      <c r="N48" s="7"/>
    </row>
    <row r="49" spans="1:14" ht="14.5" x14ac:dyDescent="0.35">
      <c r="A49" s="33">
        <v>45668</v>
      </c>
      <c r="B49" s="30" t="s">
        <v>58</v>
      </c>
      <c r="C49" s="31" t="str">
        <f>VLOOKUP(B49,'Kode Data'!$B$3:$C$23,2,0)</f>
        <v>Pallet Kayu</v>
      </c>
      <c r="D49" s="30" t="str">
        <f>VLOOKUP(LEFT(B49,2),'Kode Data'!$E$3:$G$6,3,0)</f>
        <v>Kemasan</v>
      </c>
      <c r="E49" s="31" t="s">
        <v>105</v>
      </c>
      <c r="F49" s="30">
        <v>0</v>
      </c>
      <c r="G49" s="30">
        <v>30</v>
      </c>
      <c r="H49" s="30">
        <v>150</v>
      </c>
      <c r="I49" s="30">
        <v>120</v>
      </c>
      <c r="J49" s="30" t="s">
        <v>80</v>
      </c>
      <c r="K49" s="32" t="s">
        <v>93</v>
      </c>
      <c r="N49" s="7"/>
    </row>
    <row r="50" spans="1:14" ht="14.5" x14ac:dyDescent="0.35">
      <c r="A50" s="29">
        <v>45669</v>
      </c>
      <c r="B50" s="30" t="s">
        <v>26</v>
      </c>
      <c r="C50" s="31" t="str">
        <f>VLOOKUP(B50,'Kode Data'!$B$3:$C$23,2,0)</f>
        <v>Enzim Baking</v>
      </c>
      <c r="D50" s="30" t="str">
        <f>VLOOKUP(LEFT(B50,2),'Kode Data'!$E$3:$G$6,3,0)</f>
        <v>Bahan Tambahan</v>
      </c>
      <c r="E50" s="31" t="s">
        <v>106</v>
      </c>
      <c r="F50" s="30">
        <v>0</v>
      </c>
      <c r="G50" s="30">
        <v>80</v>
      </c>
      <c r="H50" s="30">
        <v>320</v>
      </c>
      <c r="I50" s="30">
        <v>240</v>
      </c>
      <c r="J50" s="30" t="s">
        <v>87</v>
      </c>
      <c r="K50" s="32" t="s">
        <v>104</v>
      </c>
      <c r="N50" s="7"/>
    </row>
    <row r="51" spans="1:14" ht="14.5" x14ac:dyDescent="0.35">
      <c r="A51" s="29">
        <v>45669</v>
      </c>
      <c r="B51" s="30" t="s">
        <v>38</v>
      </c>
      <c r="C51" s="31" t="str">
        <f>VLOOKUP(B51,'Kode Data'!$B$3:$C$23,2,0)</f>
        <v>Improver Tepung</v>
      </c>
      <c r="D51" s="30" t="str">
        <f>VLOOKUP(LEFT(B51,2),'Kode Data'!$E$3:$G$6,3,0)</f>
        <v>Bahan Tambahan</v>
      </c>
      <c r="E51" s="31" t="s">
        <v>107</v>
      </c>
      <c r="F51" s="30">
        <v>0</v>
      </c>
      <c r="G51" s="30">
        <v>70</v>
      </c>
      <c r="H51" s="30">
        <v>320</v>
      </c>
      <c r="I51" s="30">
        <v>250</v>
      </c>
      <c r="J51" s="30" t="s">
        <v>87</v>
      </c>
      <c r="K51" s="32" t="s">
        <v>104</v>
      </c>
      <c r="N51" s="7"/>
    </row>
    <row r="52" spans="1:14" ht="14.5" x14ac:dyDescent="0.35">
      <c r="A52" s="29">
        <v>45669</v>
      </c>
      <c r="B52" s="30" t="s">
        <v>60</v>
      </c>
      <c r="C52" s="31" t="str">
        <f>VLOOKUP(B52,'Kode Data'!$B$3:$C$23,2,0)</f>
        <v>Tepung Terigu Protein Tinggi</v>
      </c>
      <c r="D52" s="30" t="str">
        <f>VLOOKUP(LEFT(B52,2),'Kode Data'!$E$3:$G$6,3,0)</f>
        <v>Produk</v>
      </c>
      <c r="E52" s="31" t="s">
        <v>108</v>
      </c>
      <c r="F52" s="30">
        <v>0</v>
      </c>
      <c r="G52" s="30">
        <v>400</v>
      </c>
      <c r="H52" s="30">
        <v>900</v>
      </c>
      <c r="I52" s="30">
        <v>500</v>
      </c>
      <c r="J52" s="30" t="s">
        <v>80</v>
      </c>
      <c r="K52" s="32" t="s">
        <v>90</v>
      </c>
      <c r="N52" s="7"/>
    </row>
    <row r="53" spans="1:14" ht="14.5" x14ac:dyDescent="0.35">
      <c r="A53" s="29">
        <v>45669</v>
      </c>
      <c r="B53" s="30" t="s">
        <v>62</v>
      </c>
      <c r="C53" s="31" t="str">
        <f>VLOOKUP(B53,'Kode Data'!$B$3:$C$23,2,0)</f>
        <v>Tepung Terigu Serbaguna</v>
      </c>
      <c r="D53" s="30" t="str">
        <f>VLOOKUP(LEFT(B53,2),'Kode Data'!$E$3:$G$6,3,0)</f>
        <v>Produk</v>
      </c>
      <c r="E53" s="31" t="s">
        <v>79</v>
      </c>
      <c r="F53" s="30">
        <v>0</v>
      </c>
      <c r="G53" s="30">
        <v>400</v>
      </c>
      <c r="H53" s="30">
        <v>800</v>
      </c>
      <c r="I53" s="30">
        <v>400</v>
      </c>
      <c r="J53" s="30" t="s">
        <v>80</v>
      </c>
      <c r="K53" s="32" t="s">
        <v>90</v>
      </c>
      <c r="N53" s="7"/>
    </row>
    <row r="54" spans="1:14" ht="14.5" x14ac:dyDescent="0.35">
      <c r="A54" s="29">
        <v>45669</v>
      </c>
      <c r="B54" s="30" t="s">
        <v>64</v>
      </c>
      <c r="C54" s="31" t="str">
        <f>VLOOKUP(B54,'Kode Data'!$B$3:$C$23,2,0)</f>
        <v>Tepung Terigu Protein Rendah</v>
      </c>
      <c r="D54" s="30" t="str">
        <f>VLOOKUP(LEFT(B54,2),'Kode Data'!$E$3:$G$6,3,0)</f>
        <v>Produk</v>
      </c>
      <c r="E54" s="31" t="s">
        <v>82</v>
      </c>
      <c r="F54" s="30">
        <v>600</v>
      </c>
      <c r="G54" s="30">
        <v>0</v>
      </c>
      <c r="H54" s="30">
        <v>1350</v>
      </c>
      <c r="I54" s="30">
        <v>1950</v>
      </c>
      <c r="J54" s="30" t="s">
        <v>80</v>
      </c>
      <c r="K54" s="32" t="s">
        <v>81</v>
      </c>
      <c r="N54" s="7"/>
    </row>
    <row r="55" spans="1:14" ht="14.5" x14ac:dyDescent="0.35">
      <c r="A55" s="29">
        <v>45669</v>
      </c>
      <c r="B55" s="30" t="s">
        <v>68</v>
      </c>
      <c r="C55" s="31" t="str">
        <f>VLOOKUP(B55,'Kode Data'!$B$3:$C$23,2,0)</f>
        <v>Tepung Terigu Khusus Kue</v>
      </c>
      <c r="D55" s="30" t="str">
        <f>VLOOKUP(LEFT(B55,2),'Kode Data'!$E$3:$G$6,3,0)</f>
        <v>Produk</v>
      </c>
      <c r="E55" s="31" t="s">
        <v>91</v>
      </c>
      <c r="F55" s="30">
        <v>0</v>
      </c>
      <c r="G55" s="30">
        <v>450</v>
      </c>
      <c r="H55" s="30">
        <v>2100</v>
      </c>
      <c r="I55" s="30">
        <v>1650</v>
      </c>
      <c r="J55" s="30" t="s">
        <v>80</v>
      </c>
      <c r="K55" s="32" t="s">
        <v>90</v>
      </c>
      <c r="N55" s="7"/>
    </row>
    <row r="56" spans="1:14" ht="14.5" x14ac:dyDescent="0.35">
      <c r="A56" s="29">
        <v>45669</v>
      </c>
      <c r="B56" s="30" t="s">
        <v>46</v>
      </c>
      <c r="C56" s="31" t="str">
        <f>VLOOKUP(B56,'Kode Data'!$B$3:$C$23,2,0)</f>
        <v>Karung Kemasan 25 Kg</v>
      </c>
      <c r="D56" s="30" t="str">
        <f>VLOOKUP(LEFT(B56,2),'Kode Data'!$E$3:$G$6,3,0)</f>
        <v>Kemasan</v>
      </c>
      <c r="E56" s="31" t="s">
        <v>86</v>
      </c>
      <c r="F56" s="30">
        <v>0</v>
      </c>
      <c r="G56" s="30">
        <v>250</v>
      </c>
      <c r="H56" s="30">
        <v>1850</v>
      </c>
      <c r="I56" s="30">
        <v>1600</v>
      </c>
      <c r="J56" s="30" t="s">
        <v>80</v>
      </c>
      <c r="K56" s="32" t="s">
        <v>93</v>
      </c>
      <c r="N56" s="7"/>
    </row>
    <row r="57" spans="1:14" ht="14.5" x14ac:dyDescent="0.35">
      <c r="A57" s="33">
        <v>45669</v>
      </c>
      <c r="B57" s="30" t="s">
        <v>54</v>
      </c>
      <c r="C57" s="31" t="str">
        <f>VLOOKUP(B57,'Kode Data'!$B$3:$C$23,2,0)</f>
        <v>Karton Box</v>
      </c>
      <c r="D57" s="30" t="str">
        <f>VLOOKUP(LEFT(B57,2),'Kode Data'!$E$3:$G$6,3,0)</f>
        <v>Kemasan</v>
      </c>
      <c r="E57" s="31" t="s">
        <v>109</v>
      </c>
      <c r="F57" s="30">
        <v>500</v>
      </c>
      <c r="G57" s="30">
        <v>0</v>
      </c>
      <c r="H57" s="30">
        <v>6000</v>
      </c>
      <c r="I57" s="30">
        <v>6500</v>
      </c>
      <c r="J57" s="30" t="s">
        <v>80</v>
      </c>
      <c r="K57" s="32" t="s">
        <v>85</v>
      </c>
      <c r="N57" s="7"/>
    </row>
    <row r="58" spans="1:14" ht="14.5" x14ac:dyDescent="0.35">
      <c r="A58" s="33">
        <v>45669</v>
      </c>
      <c r="B58" s="30" t="s">
        <v>14</v>
      </c>
      <c r="C58" s="31" t="str">
        <f>VLOOKUP(B58,'Kode Data'!$B$3:$C$23,2,0)</f>
        <v>Gandum Durum</v>
      </c>
      <c r="D58" s="30" t="str">
        <f>VLOOKUP(LEFT(B58,2),'Kode Data'!$E$3:$G$6,3,0)</f>
        <v>Bahan Baku</v>
      </c>
      <c r="E58" s="31" t="s">
        <v>79</v>
      </c>
      <c r="F58" s="30">
        <v>0</v>
      </c>
      <c r="G58" s="30">
        <v>250</v>
      </c>
      <c r="H58" s="30">
        <v>1400</v>
      </c>
      <c r="I58" s="30">
        <v>1150</v>
      </c>
      <c r="J58" s="30" t="s">
        <v>87</v>
      </c>
      <c r="K58" s="32" t="s">
        <v>104</v>
      </c>
      <c r="N58" s="7"/>
    </row>
    <row r="59" spans="1:14" ht="14.5" x14ac:dyDescent="0.35">
      <c r="A59" s="29">
        <v>45670</v>
      </c>
      <c r="B59" s="30" t="s">
        <v>50</v>
      </c>
      <c r="C59" s="31" t="str">
        <f>VLOOKUP(B59,'Kode Data'!$B$3:$C$23,2,0)</f>
        <v>Plastik Kemasan 1 Kg</v>
      </c>
      <c r="D59" s="30" t="str">
        <f>VLOOKUP(LEFT(B59,2),'Kode Data'!$E$3:$G$6,3,0)</f>
        <v>Kemasan</v>
      </c>
      <c r="E59" s="31" t="s">
        <v>86</v>
      </c>
      <c r="F59" s="30">
        <v>900</v>
      </c>
      <c r="G59" s="30">
        <v>0</v>
      </c>
      <c r="H59" s="30">
        <v>6950</v>
      </c>
      <c r="I59" s="30">
        <v>7850</v>
      </c>
      <c r="J59" s="30" t="s">
        <v>80</v>
      </c>
      <c r="K59" s="32" t="s">
        <v>85</v>
      </c>
      <c r="N59" s="7"/>
    </row>
    <row r="60" spans="1:14" ht="14.5" x14ac:dyDescent="0.35">
      <c r="A60" s="33">
        <v>45670</v>
      </c>
      <c r="B60" s="30" t="s">
        <v>19</v>
      </c>
      <c r="C60" s="31" t="str">
        <f>VLOOKUP(B60,'Kode Data'!$B$3:$C$23,2,0)</f>
        <v>Bran Gandum</v>
      </c>
      <c r="D60" s="30" t="str">
        <f>VLOOKUP(LEFT(B60,2),'Kode Data'!$E$3:$G$6,3,0)</f>
        <v>Bahan Baku</v>
      </c>
      <c r="E60" s="31" t="s">
        <v>98</v>
      </c>
      <c r="F60" s="30">
        <v>0</v>
      </c>
      <c r="G60" s="30">
        <v>150</v>
      </c>
      <c r="H60" s="30">
        <v>900</v>
      </c>
      <c r="I60" s="30">
        <v>750</v>
      </c>
      <c r="J60" s="30" t="s">
        <v>87</v>
      </c>
      <c r="K60" s="32" t="s">
        <v>104</v>
      </c>
    </row>
    <row r="61" spans="1:14" ht="14.5" x14ac:dyDescent="0.35">
      <c r="A61" s="29">
        <v>45671</v>
      </c>
      <c r="B61" s="30" t="s">
        <v>34</v>
      </c>
      <c r="C61" s="31" t="str">
        <f>VLOOKUP(B61,'Kode Data'!$B$3:$C$23,2,0)</f>
        <v>Tepung Premix</v>
      </c>
      <c r="D61" s="30" t="str">
        <f>VLOOKUP(LEFT(B61,2),'Kode Data'!$E$3:$G$6,3,0)</f>
        <v>Bahan Tambahan</v>
      </c>
      <c r="E61" s="31" t="s">
        <v>79</v>
      </c>
      <c r="F61" s="30">
        <v>0</v>
      </c>
      <c r="G61" s="30">
        <v>150</v>
      </c>
      <c r="H61" s="30">
        <v>700</v>
      </c>
      <c r="I61" s="30">
        <v>550</v>
      </c>
      <c r="J61" s="30" t="s">
        <v>87</v>
      </c>
      <c r="K61" s="32" t="s">
        <v>104</v>
      </c>
    </row>
    <row r="62" spans="1:14" ht="14.5" x14ac:dyDescent="0.35">
      <c r="A62" s="33">
        <v>45671</v>
      </c>
      <c r="B62" s="30" t="s">
        <v>52</v>
      </c>
      <c r="C62" s="31" t="str">
        <f>VLOOKUP(B62,'Kode Data'!$B$3:$C$23,2,0)</f>
        <v>Plastik Kemasan 500 gr</v>
      </c>
      <c r="D62" s="30" t="str">
        <f>VLOOKUP(LEFT(B62,2),'Kode Data'!$E$3:$G$6,3,0)</f>
        <v>Kemasan</v>
      </c>
      <c r="E62" s="31" t="s">
        <v>86</v>
      </c>
      <c r="F62" s="30">
        <v>1000</v>
      </c>
      <c r="G62" s="30">
        <v>0</v>
      </c>
      <c r="H62" s="30">
        <v>5000</v>
      </c>
      <c r="I62" s="30">
        <v>6000</v>
      </c>
      <c r="J62" s="30" t="s">
        <v>80</v>
      </c>
      <c r="K62" s="32" t="s">
        <v>85</v>
      </c>
    </row>
    <row r="63" spans="1:14" ht="14.5" x14ac:dyDescent="0.35">
      <c r="A63" s="33">
        <v>45671</v>
      </c>
      <c r="B63" s="30" t="s">
        <v>56</v>
      </c>
      <c r="C63" s="31" t="str">
        <f>VLOOKUP(B63,'Kode Data'!$B$3:$C$23,2,0)</f>
        <v>Label Produk</v>
      </c>
      <c r="D63" s="30" t="str">
        <f>VLOOKUP(LEFT(B63,2),'Kode Data'!$E$3:$G$6,3,0)</f>
        <v>Kemasan</v>
      </c>
      <c r="E63" s="31" t="s">
        <v>103</v>
      </c>
      <c r="F63" s="30">
        <v>0</v>
      </c>
      <c r="G63" s="30">
        <v>300</v>
      </c>
      <c r="H63" s="30">
        <v>1500</v>
      </c>
      <c r="I63" s="30">
        <v>1200</v>
      </c>
      <c r="J63" s="30" t="s">
        <v>80</v>
      </c>
      <c r="K63" s="32" t="s">
        <v>93</v>
      </c>
    </row>
    <row r="64" spans="1:14" ht="14.5" x14ac:dyDescent="0.35">
      <c r="A64" s="33">
        <v>45671</v>
      </c>
      <c r="B64" s="30" t="s">
        <v>9</v>
      </c>
      <c r="C64" s="31" t="str">
        <f>VLOOKUP(B64,'Kode Data'!$B$3:$C$23,2,0)</f>
        <v>Gandum Soft Wheat</v>
      </c>
      <c r="D64" s="30" t="str">
        <f>VLOOKUP(LEFT(B64,2),'Kode Data'!$E$3:$G$6,3,0)</f>
        <v>Bahan Baku</v>
      </c>
      <c r="E64" s="31" t="s">
        <v>89</v>
      </c>
      <c r="F64" s="30">
        <v>400</v>
      </c>
      <c r="G64" s="30">
        <v>0</v>
      </c>
      <c r="H64" s="30">
        <v>1250</v>
      </c>
      <c r="I64" s="30">
        <v>1650</v>
      </c>
      <c r="J64" s="30" t="s">
        <v>87</v>
      </c>
      <c r="K64" s="32" t="s">
        <v>110</v>
      </c>
    </row>
    <row r="65" spans="1:11" ht="14.5" x14ac:dyDescent="0.35">
      <c r="A65" s="29">
        <v>45672</v>
      </c>
      <c r="B65" s="30" t="s">
        <v>42</v>
      </c>
      <c r="C65" s="31" t="str">
        <f>VLOOKUP(B65,'Kode Data'!$B$3:$C$23,2,0)</f>
        <v>Calcium Propionate</v>
      </c>
      <c r="D65" s="30" t="str">
        <f>VLOOKUP(LEFT(B65,2),'Kode Data'!$E$3:$G$6,3,0)</f>
        <v>Bahan Tambahan</v>
      </c>
      <c r="E65" s="31" t="s">
        <v>111</v>
      </c>
      <c r="F65" s="30">
        <v>0</v>
      </c>
      <c r="G65" s="30">
        <v>20</v>
      </c>
      <c r="H65" s="30">
        <v>250</v>
      </c>
      <c r="I65" s="30">
        <v>230</v>
      </c>
      <c r="J65" s="30" t="s">
        <v>87</v>
      </c>
      <c r="K65" s="32" t="s">
        <v>104</v>
      </c>
    </row>
    <row r="66" spans="1:11" ht="14.5" x14ac:dyDescent="0.35">
      <c r="A66" s="33">
        <v>45672</v>
      </c>
      <c r="B66" s="30" t="s">
        <v>4</v>
      </c>
      <c r="C66" s="31" t="str">
        <f>VLOOKUP(B66,'Kode Data'!$B$3:$C$23,2,0)</f>
        <v>Gandum Hard Wheat</v>
      </c>
      <c r="D66" s="30" t="str">
        <f>VLOOKUP(LEFT(B66,2),'Kode Data'!$E$3:$G$6,3,0)</f>
        <v>Bahan Baku</v>
      </c>
      <c r="E66" s="31" t="s">
        <v>98</v>
      </c>
      <c r="F66" s="30">
        <v>400</v>
      </c>
      <c r="G66" s="30">
        <v>0</v>
      </c>
      <c r="H66" s="30">
        <v>1200</v>
      </c>
      <c r="I66" s="30">
        <v>1600</v>
      </c>
      <c r="J66" s="30" t="s">
        <v>87</v>
      </c>
      <c r="K66" s="32" t="s">
        <v>110</v>
      </c>
    </row>
    <row r="67" spans="1:11" ht="14.5" x14ac:dyDescent="0.35">
      <c r="A67" s="29">
        <v>45674</v>
      </c>
      <c r="B67" s="30" t="s">
        <v>30</v>
      </c>
      <c r="C67" s="31" t="str">
        <f>VLOOKUP(B67,'Kode Data'!$B$3:$C$23,2,0)</f>
        <v>Vitamin Fortifikasi</v>
      </c>
      <c r="D67" s="30" t="str">
        <f>VLOOKUP(LEFT(B67,2),'Kode Data'!$E$3:$G$6,3,0)</f>
        <v>Bahan Tambahan</v>
      </c>
      <c r="E67" s="31" t="s">
        <v>112</v>
      </c>
      <c r="F67" s="30">
        <v>0</v>
      </c>
      <c r="G67" s="30">
        <v>80</v>
      </c>
      <c r="H67" s="30">
        <v>320</v>
      </c>
      <c r="I67" s="30">
        <v>240</v>
      </c>
      <c r="J67" s="30" t="s">
        <v>87</v>
      </c>
      <c r="K67" s="32" t="s">
        <v>104</v>
      </c>
    </row>
    <row r="68" spans="1:11" ht="14.5" x14ac:dyDescent="0.35">
      <c r="A68" s="33">
        <v>45674</v>
      </c>
      <c r="B68" s="30" t="s">
        <v>58</v>
      </c>
      <c r="C68" s="31" t="str">
        <f>VLOOKUP(B68,'Kode Data'!$B$3:$C$23,2,0)</f>
        <v>Pallet Kayu</v>
      </c>
      <c r="D68" s="30" t="str">
        <f>VLOOKUP(LEFT(B68,2),'Kode Data'!$E$3:$G$6,3,0)</f>
        <v>Kemasan</v>
      </c>
      <c r="E68" s="31" t="s">
        <v>94</v>
      </c>
      <c r="F68" s="30">
        <v>40</v>
      </c>
      <c r="G68" s="30">
        <v>0</v>
      </c>
      <c r="H68" s="30">
        <v>120</v>
      </c>
      <c r="I68" s="30">
        <v>160</v>
      </c>
      <c r="J68" s="30" t="s">
        <v>80</v>
      </c>
      <c r="K68" s="32" t="s">
        <v>85</v>
      </c>
    </row>
    <row r="69" spans="1:11" ht="14.5" x14ac:dyDescent="0.35">
      <c r="A69" s="29">
        <v>45675</v>
      </c>
      <c r="B69" s="30" t="s">
        <v>60</v>
      </c>
      <c r="C69" s="31" t="str">
        <f>VLOOKUP(B69,'Kode Data'!$B$3:$C$23,2,0)</f>
        <v>Tepung Terigu Protein Tinggi</v>
      </c>
      <c r="D69" s="30" t="str">
        <f>VLOOKUP(LEFT(B69,2),'Kode Data'!$E$3:$G$6,3,0)</f>
        <v>Produk</v>
      </c>
      <c r="E69" s="31" t="s">
        <v>113</v>
      </c>
      <c r="F69" s="30">
        <v>700</v>
      </c>
      <c r="G69" s="30">
        <v>0</v>
      </c>
      <c r="H69" s="30">
        <v>500</v>
      </c>
      <c r="I69" s="30">
        <v>1200</v>
      </c>
      <c r="J69" s="30" t="s">
        <v>80</v>
      </c>
      <c r="K69" s="32" t="s">
        <v>81</v>
      </c>
    </row>
    <row r="70" spans="1:11" ht="14.5" x14ac:dyDescent="0.35">
      <c r="A70" s="29">
        <v>45675</v>
      </c>
      <c r="B70" s="30" t="s">
        <v>62</v>
      </c>
      <c r="C70" s="31" t="str">
        <f>VLOOKUP(B70,'Kode Data'!$B$3:$C$23,2,0)</f>
        <v>Tepung Terigu Serbaguna</v>
      </c>
      <c r="D70" s="30" t="str">
        <f>VLOOKUP(LEFT(B70,2),'Kode Data'!$E$3:$G$6,3,0)</f>
        <v>Produk</v>
      </c>
      <c r="E70" s="31" t="s">
        <v>89</v>
      </c>
      <c r="F70" s="30">
        <v>600</v>
      </c>
      <c r="G70" s="30">
        <v>0</v>
      </c>
      <c r="H70" s="30">
        <v>400</v>
      </c>
      <c r="I70" s="30">
        <v>1000</v>
      </c>
      <c r="J70" s="30" t="s">
        <v>80</v>
      </c>
      <c r="K70" s="32" t="s">
        <v>81</v>
      </c>
    </row>
    <row r="71" spans="1:11" ht="14.5" x14ac:dyDescent="0.35">
      <c r="A71" s="33">
        <v>45675</v>
      </c>
      <c r="B71" s="30" t="s">
        <v>14</v>
      </c>
      <c r="C71" s="31" t="str">
        <f>VLOOKUP(B71,'Kode Data'!$B$3:$C$23,2,0)</f>
        <v>Gandum Durum</v>
      </c>
      <c r="D71" s="30" t="str">
        <f>VLOOKUP(LEFT(B71,2),'Kode Data'!$E$3:$G$6,3,0)</f>
        <v>Bahan Baku</v>
      </c>
      <c r="E71" s="31" t="s">
        <v>98</v>
      </c>
      <c r="F71" s="30">
        <v>300</v>
      </c>
      <c r="G71" s="30">
        <v>0</v>
      </c>
      <c r="H71" s="30">
        <v>1150</v>
      </c>
      <c r="I71" s="30">
        <v>1450</v>
      </c>
      <c r="J71" s="30" t="s">
        <v>87</v>
      </c>
      <c r="K71" s="32" t="s">
        <v>110</v>
      </c>
    </row>
    <row r="72" spans="1:11" ht="14.5" x14ac:dyDescent="0.35">
      <c r="A72" s="33">
        <v>45676</v>
      </c>
      <c r="B72" s="30" t="s">
        <v>54</v>
      </c>
      <c r="C72" s="31" t="str">
        <f>VLOOKUP(B72,'Kode Data'!$B$3:$C$23,2,0)</f>
        <v>Karton Box</v>
      </c>
      <c r="D72" s="30" t="str">
        <f>VLOOKUP(LEFT(B72,2),'Kode Data'!$E$3:$G$6,3,0)</f>
        <v>Kemasan</v>
      </c>
      <c r="E72" s="31" t="s">
        <v>114</v>
      </c>
      <c r="F72" s="30">
        <v>0</v>
      </c>
      <c r="G72" s="30">
        <v>400</v>
      </c>
      <c r="H72" s="30">
        <v>6500</v>
      </c>
      <c r="I72" s="30">
        <v>6100</v>
      </c>
      <c r="J72" s="30" t="s">
        <v>80</v>
      </c>
      <c r="K72" s="32" t="s">
        <v>93</v>
      </c>
    </row>
    <row r="73" spans="1:11" ht="14.5" x14ac:dyDescent="0.35">
      <c r="A73" s="33">
        <v>45676</v>
      </c>
      <c r="B73" s="30" t="s">
        <v>24</v>
      </c>
      <c r="C73" s="31" t="str">
        <f>VLOOKUP(B73,'Kode Data'!$B$3:$C$23,2,0)</f>
        <v>Germ Gandum</v>
      </c>
      <c r="D73" s="30" t="str">
        <f>VLOOKUP(LEFT(B73,2),'Kode Data'!$E$3:$G$6,3,0)</f>
        <v>Bahan Baku</v>
      </c>
      <c r="E73" s="31" t="s">
        <v>89</v>
      </c>
      <c r="F73" s="30">
        <v>200</v>
      </c>
      <c r="G73" s="30">
        <v>0</v>
      </c>
      <c r="H73" s="30">
        <v>680</v>
      </c>
      <c r="I73" s="30">
        <v>880</v>
      </c>
      <c r="J73" s="30" t="s">
        <v>87</v>
      </c>
      <c r="K73" s="32" t="s">
        <v>110</v>
      </c>
    </row>
    <row r="74" spans="1:11" ht="14.5" x14ac:dyDescent="0.35">
      <c r="A74" s="29">
        <v>45677</v>
      </c>
      <c r="B74" s="30" t="s">
        <v>26</v>
      </c>
      <c r="C74" s="31" t="str">
        <f>VLOOKUP(B74,'Kode Data'!$B$3:$C$23,2,0)</f>
        <v>Enzim Baking</v>
      </c>
      <c r="D74" s="30" t="str">
        <f>VLOOKUP(LEFT(B74,2),'Kode Data'!$E$3:$G$6,3,0)</f>
        <v>Bahan Tambahan</v>
      </c>
      <c r="E74" s="31" t="s">
        <v>115</v>
      </c>
      <c r="F74" s="30">
        <v>90</v>
      </c>
      <c r="G74" s="30">
        <v>0</v>
      </c>
      <c r="H74" s="30">
        <v>240</v>
      </c>
      <c r="I74" s="30">
        <v>330</v>
      </c>
      <c r="J74" s="30" t="s">
        <v>87</v>
      </c>
      <c r="K74" s="32" t="s">
        <v>116</v>
      </c>
    </row>
    <row r="75" spans="1:11" ht="14.5" x14ac:dyDescent="0.35">
      <c r="A75" s="29">
        <v>45677</v>
      </c>
      <c r="B75" s="30" t="s">
        <v>38</v>
      </c>
      <c r="C75" s="31" t="str">
        <f>VLOOKUP(B75,'Kode Data'!$B$3:$C$23,2,0)</f>
        <v>Improver Tepung</v>
      </c>
      <c r="D75" s="30" t="str">
        <f>VLOOKUP(LEFT(B75,2),'Kode Data'!$E$3:$G$6,3,0)</f>
        <v>Bahan Tambahan</v>
      </c>
      <c r="E75" s="31" t="s">
        <v>117</v>
      </c>
      <c r="F75" s="30">
        <v>100</v>
      </c>
      <c r="G75" s="30">
        <v>0</v>
      </c>
      <c r="H75" s="30">
        <v>250</v>
      </c>
      <c r="I75" s="30">
        <v>350</v>
      </c>
      <c r="J75" s="30" t="s">
        <v>87</v>
      </c>
      <c r="K75" s="32" t="s">
        <v>116</v>
      </c>
    </row>
    <row r="76" spans="1:11" ht="14.5" x14ac:dyDescent="0.35">
      <c r="A76" s="29">
        <v>45678</v>
      </c>
      <c r="B76" s="30" t="s">
        <v>34</v>
      </c>
      <c r="C76" s="31" t="str">
        <f>VLOOKUP(B76,'Kode Data'!$B$3:$C$23,2,0)</f>
        <v>Tepung Premix</v>
      </c>
      <c r="D76" s="30" t="str">
        <f>VLOOKUP(LEFT(B76,2),'Kode Data'!$E$3:$G$6,3,0)</f>
        <v>Bahan Tambahan</v>
      </c>
      <c r="E76" s="31" t="s">
        <v>89</v>
      </c>
      <c r="F76" s="30">
        <v>180</v>
      </c>
      <c r="G76" s="30">
        <v>0</v>
      </c>
      <c r="H76" s="30">
        <v>550</v>
      </c>
      <c r="I76" s="30">
        <v>730</v>
      </c>
      <c r="J76" s="30" t="s">
        <v>87</v>
      </c>
      <c r="K76" s="32" t="s">
        <v>96</v>
      </c>
    </row>
    <row r="77" spans="1:11" ht="14.5" x14ac:dyDescent="0.35">
      <c r="A77" s="33">
        <v>45678</v>
      </c>
      <c r="B77" s="30" t="s">
        <v>19</v>
      </c>
      <c r="C77" s="31" t="str">
        <f>VLOOKUP(B77,'Kode Data'!$B$3:$C$23,2,0)</f>
        <v>Bran Gandum</v>
      </c>
      <c r="D77" s="30" t="str">
        <f>VLOOKUP(LEFT(B77,2),'Kode Data'!$E$3:$G$6,3,0)</f>
        <v>Bahan Baku</v>
      </c>
      <c r="E77" s="31" t="s">
        <v>118</v>
      </c>
      <c r="F77" s="30">
        <v>300</v>
      </c>
      <c r="G77" s="30">
        <v>0</v>
      </c>
      <c r="H77" s="30">
        <v>750</v>
      </c>
      <c r="I77" s="30">
        <v>1050</v>
      </c>
      <c r="J77" s="30" t="s">
        <v>87</v>
      </c>
      <c r="K77" s="32" t="s">
        <v>110</v>
      </c>
    </row>
    <row r="78" spans="1:11" ht="14.5" x14ac:dyDescent="0.35">
      <c r="A78" s="29">
        <v>45679</v>
      </c>
      <c r="B78" s="30" t="s">
        <v>42</v>
      </c>
      <c r="C78" s="31" t="str">
        <f>VLOOKUP(B78,'Kode Data'!$B$3:$C$23,2,0)</f>
        <v>Calcium Propionate</v>
      </c>
      <c r="D78" s="30" t="str">
        <f>VLOOKUP(LEFT(B78,2),'Kode Data'!$E$3:$G$6,3,0)</f>
        <v>Bahan Tambahan</v>
      </c>
      <c r="E78" s="31" t="s">
        <v>95</v>
      </c>
      <c r="F78" s="30">
        <v>40</v>
      </c>
      <c r="G78" s="30">
        <v>0</v>
      </c>
      <c r="H78" s="30">
        <v>230</v>
      </c>
      <c r="I78" s="30">
        <v>270</v>
      </c>
      <c r="J78" s="30" t="s">
        <v>87</v>
      </c>
      <c r="K78" s="32" t="s">
        <v>116</v>
      </c>
    </row>
    <row r="79" spans="1:11" ht="14.5" x14ac:dyDescent="0.35">
      <c r="A79" s="33">
        <v>45679</v>
      </c>
      <c r="B79" s="30" t="s">
        <v>52</v>
      </c>
      <c r="C79" s="31" t="str">
        <f>VLOOKUP(B79,'Kode Data'!$B$3:$C$23,2,0)</f>
        <v>Plastik Kemasan 500 gr</v>
      </c>
      <c r="D79" s="30" t="str">
        <f>VLOOKUP(LEFT(B79,2),'Kode Data'!$E$3:$G$6,3,0)</f>
        <v>Kemasan</v>
      </c>
      <c r="E79" s="31" t="s">
        <v>84</v>
      </c>
      <c r="F79" s="30">
        <v>800</v>
      </c>
      <c r="G79" s="30">
        <v>0</v>
      </c>
      <c r="H79" s="30">
        <v>6000</v>
      </c>
      <c r="I79" s="30">
        <v>6800</v>
      </c>
      <c r="J79" s="30" t="s">
        <v>80</v>
      </c>
      <c r="K79" s="32" t="s">
        <v>85</v>
      </c>
    </row>
    <row r="80" spans="1:11" ht="14.5" x14ac:dyDescent="0.35">
      <c r="A80" s="33">
        <v>45679</v>
      </c>
      <c r="B80" s="30" t="s">
        <v>9</v>
      </c>
      <c r="C80" s="31" t="str">
        <f>VLOOKUP(B80,'Kode Data'!$B$3:$C$23,2,0)</f>
        <v>Gandum Soft Wheat</v>
      </c>
      <c r="D80" s="30" t="str">
        <f>VLOOKUP(LEFT(B80,2),'Kode Data'!$E$3:$G$6,3,0)</f>
        <v>Bahan Baku</v>
      </c>
      <c r="E80" s="31" t="s">
        <v>98</v>
      </c>
      <c r="F80" s="30">
        <v>0</v>
      </c>
      <c r="G80" s="30">
        <v>300</v>
      </c>
      <c r="H80" s="30">
        <v>1650</v>
      </c>
      <c r="I80" s="30">
        <v>1350</v>
      </c>
      <c r="J80" s="30" t="s">
        <v>87</v>
      </c>
      <c r="K80" s="32" t="s">
        <v>104</v>
      </c>
    </row>
    <row r="81" spans="1:11" ht="14.5" x14ac:dyDescent="0.35">
      <c r="A81" s="29">
        <v>45680</v>
      </c>
      <c r="B81" s="30" t="s">
        <v>30</v>
      </c>
      <c r="C81" s="31" t="str">
        <f>VLOOKUP(B81,'Kode Data'!$B$3:$C$23,2,0)</f>
        <v>Vitamin Fortifikasi</v>
      </c>
      <c r="D81" s="30" t="str">
        <f>VLOOKUP(LEFT(B81,2),'Kode Data'!$E$3:$G$6,3,0)</f>
        <v>Bahan Tambahan</v>
      </c>
      <c r="E81" s="31" t="s">
        <v>119</v>
      </c>
      <c r="F81" s="30">
        <v>100</v>
      </c>
      <c r="G81" s="30">
        <v>0</v>
      </c>
      <c r="H81" s="30">
        <v>240</v>
      </c>
      <c r="I81" s="30">
        <v>340</v>
      </c>
      <c r="J81" s="30" t="s">
        <v>87</v>
      </c>
      <c r="K81" s="32" t="s">
        <v>116</v>
      </c>
    </row>
    <row r="82" spans="1:11" ht="14.5" x14ac:dyDescent="0.35">
      <c r="A82" s="33">
        <v>45680</v>
      </c>
      <c r="B82" s="30" t="s">
        <v>56</v>
      </c>
      <c r="C82" s="31" t="str">
        <f>VLOOKUP(B82,'Kode Data'!$B$3:$C$23,2,0)</f>
        <v>Label Produk</v>
      </c>
      <c r="D82" s="30" t="str">
        <f>VLOOKUP(LEFT(B82,2),'Kode Data'!$E$3:$G$6,3,0)</f>
        <v>Kemasan</v>
      </c>
      <c r="E82" s="31" t="s">
        <v>120</v>
      </c>
      <c r="F82" s="30">
        <v>400</v>
      </c>
      <c r="G82" s="30">
        <v>0</v>
      </c>
      <c r="H82" s="30">
        <v>1200</v>
      </c>
      <c r="I82" s="30">
        <v>1600</v>
      </c>
      <c r="J82" s="30" t="s">
        <v>80</v>
      </c>
      <c r="K82" s="32" t="s">
        <v>85</v>
      </c>
    </row>
    <row r="83" spans="1:11" ht="14.5" x14ac:dyDescent="0.35">
      <c r="A83" s="33">
        <v>45682</v>
      </c>
      <c r="B83" s="30" t="s">
        <v>14</v>
      </c>
      <c r="C83" s="31" t="str">
        <f>VLOOKUP(B83,'Kode Data'!$B$3:$C$23,2,0)</f>
        <v>Gandum Durum</v>
      </c>
      <c r="D83" s="30" t="str">
        <f>VLOOKUP(LEFT(B83,2),'Kode Data'!$E$3:$G$6,3,0)</f>
        <v>Bahan Baku</v>
      </c>
      <c r="E83" s="31" t="s">
        <v>79</v>
      </c>
      <c r="F83" s="30">
        <v>0</v>
      </c>
      <c r="G83" s="30">
        <v>200</v>
      </c>
      <c r="H83" s="30">
        <v>1450</v>
      </c>
      <c r="I83" s="30">
        <v>1250</v>
      </c>
      <c r="J83" s="30" t="s">
        <v>87</v>
      </c>
      <c r="K83" s="32" t="s">
        <v>104</v>
      </c>
    </row>
    <row r="84" spans="1:11" ht="14.5" x14ac:dyDescent="0.35">
      <c r="A84" s="33">
        <v>45683</v>
      </c>
      <c r="B84" s="30" t="s">
        <v>4</v>
      </c>
      <c r="C84" s="31" t="str">
        <f>VLOOKUP(B84,'Kode Data'!$B$3:$C$23,2,0)</f>
        <v>Gandum Hard Wheat</v>
      </c>
      <c r="D84" s="30" t="str">
        <f>VLOOKUP(LEFT(B84,2),'Kode Data'!$E$3:$G$6,3,0)</f>
        <v>Bahan Baku</v>
      </c>
      <c r="E84" s="31" t="s">
        <v>89</v>
      </c>
      <c r="F84" s="30">
        <v>0</v>
      </c>
      <c r="G84" s="30">
        <v>250</v>
      </c>
      <c r="H84" s="30">
        <v>1600</v>
      </c>
      <c r="I84" s="30">
        <v>1350</v>
      </c>
      <c r="J84" s="30" t="s">
        <v>87</v>
      </c>
      <c r="K84" s="32" t="s">
        <v>104</v>
      </c>
    </row>
    <row r="85" spans="1:11" ht="14.5" x14ac:dyDescent="0.35">
      <c r="A85" s="29">
        <v>45684</v>
      </c>
      <c r="B85" s="30" t="s">
        <v>60</v>
      </c>
      <c r="C85" s="31" t="str">
        <f>VLOOKUP(B85,'Kode Data'!$B$3:$C$23,2,0)</f>
        <v>Tepung Terigu Protein Tinggi</v>
      </c>
      <c r="D85" s="30" t="str">
        <f>VLOOKUP(LEFT(B85,2),'Kode Data'!$E$3:$G$6,3,0)</f>
        <v>Produk</v>
      </c>
      <c r="E85" s="31" t="s">
        <v>102</v>
      </c>
      <c r="F85" s="30">
        <v>0</v>
      </c>
      <c r="G85" s="30">
        <v>500</v>
      </c>
      <c r="H85" s="30">
        <v>1200</v>
      </c>
      <c r="I85" s="30">
        <v>700</v>
      </c>
      <c r="J85" s="30" t="s">
        <v>80</v>
      </c>
      <c r="K85" s="32" t="s">
        <v>90</v>
      </c>
    </row>
    <row r="86" spans="1:11" ht="14.5" x14ac:dyDescent="0.35">
      <c r="A86" s="29">
        <v>45684</v>
      </c>
      <c r="B86" s="30" t="s">
        <v>62</v>
      </c>
      <c r="C86" s="31" t="str">
        <f>VLOOKUP(B86,'Kode Data'!$B$3:$C$23,2,0)</f>
        <v>Tepung Terigu Serbaguna</v>
      </c>
      <c r="D86" s="30" t="str">
        <f>VLOOKUP(LEFT(B86,2),'Kode Data'!$E$3:$G$6,3,0)</f>
        <v>Produk</v>
      </c>
      <c r="E86" s="31" t="s">
        <v>82</v>
      </c>
      <c r="F86" s="30">
        <v>0</v>
      </c>
      <c r="G86" s="30">
        <v>350</v>
      </c>
      <c r="H86" s="30">
        <v>1000</v>
      </c>
      <c r="I86" s="30">
        <v>650</v>
      </c>
      <c r="J86" s="30" t="s">
        <v>80</v>
      </c>
      <c r="K86" s="32" t="s">
        <v>90</v>
      </c>
    </row>
    <row r="87" spans="1:11" ht="14.5" x14ac:dyDescent="0.35">
      <c r="A87" s="33">
        <v>45684</v>
      </c>
      <c r="B87" s="30" t="s">
        <v>54</v>
      </c>
      <c r="C87" s="31" t="str">
        <f>VLOOKUP(B87,'Kode Data'!$B$3:$C$23,2,0)</f>
        <v>Karton Box</v>
      </c>
      <c r="D87" s="30" t="str">
        <f>VLOOKUP(LEFT(B87,2),'Kode Data'!$E$3:$G$6,3,0)</f>
        <v>Kemasan</v>
      </c>
      <c r="E87" s="31" t="s">
        <v>97</v>
      </c>
      <c r="F87" s="30">
        <v>0</v>
      </c>
      <c r="G87" s="30">
        <v>300</v>
      </c>
      <c r="H87" s="30">
        <v>6100</v>
      </c>
      <c r="I87" s="30">
        <v>5800</v>
      </c>
      <c r="J87" s="30" t="s">
        <v>80</v>
      </c>
      <c r="K87" s="32" t="s">
        <v>93</v>
      </c>
    </row>
    <row r="88" spans="1:11" ht="14.5" x14ac:dyDescent="0.35">
      <c r="A88" s="29">
        <v>45685</v>
      </c>
      <c r="B88" s="30" t="s">
        <v>26</v>
      </c>
      <c r="C88" s="31" t="str">
        <f>VLOOKUP(B88,'Kode Data'!$B$3:$C$23,2,0)</f>
        <v>Enzim Baking</v>
      </c>
      <c r="D88" s="30" t="str">
        <f>VLOOKUP(LEFT(B88,2),'Kode Data'!$E$3:$G$6,3,0)</f>
        <v>Bahan Tambahan</v>
      </c>
      <c r="E88" s="31" t="s">
        <v>100</v>
      </c>
      <c r="F88" s="30">
        <v>0</v>
      </c>
      <c r="G88" s="30">
        <v>100</v>
      </c>
      <c r="H88" s="30">
        <v>330</v>
      </c>
      <c r="I88" s="30">
        <v>230</v>
      </c>
      <c r="J88" s="30" t="s">
        <v>87</v>
      </c>
      <c r="K88" s="32" t="s">
        <v>104</v>
      </c>
    </row>
    <row r="89" spans="1:11" ht="14.5" x14ac:dyDescent="0.35">
      <c r="A89" s="29">
        <v>45685</v>
      </c>
      <c r="B89" s="30" t="s">
        <v>38</v>
      </c>
      <c r="C89" s="31" t="str">
        <f>VLOOKUP(B89,'Kode Data'!$B$3:$C$23,2,0)</f>
        <v>Improver Tepung</v>
      </c>
      <c r="D89" s="30" t="str">
        <f>VLOOKUP(LEFT(B89,2),'Kode Data'!$E$3:$G$6,3,0)</f>
        <v>Bahan Tambahan</v>
      </c>
      <c r="E89" s="31" t="s">
        <v>95</v>
      </c>
      <c r="F89" s="30">
        <v>0</v>
      </c>
      <c r="G89" s="30">
        <v>80</v>
      </c>
      <c r="H89" s="30">
        <v>350</v>
      </c>
      <c r="I89" s="30">
        <v>270</v>
      </c>
      <c r="J89" s="30" t="s">
        <v>87</v>
      </c>
      <c r="K89" s="32" t="s">
        <v>104</v>
      </c>
    </row>
    <row r="90" spans="1:11" ht="14.5" x14ac:dyDescent="0.35">
      <c r="A90" s="29">
        <v>45685</v>
      </c>
      <c r="B90" s="30" t="s">
        <v>42</v>
      </c>
      <c r="C90" s="31" t="str">
        <f>VLOOKUP(B90,'Kode Data'!$B$3:$C$23,2,0)</f>
        <v>Calcium Propionate</v>
      </c>
      <c r="D90" s="30" t="str">
        <f>VLOOKUP(LEFT(B90,2),'Kode Data'!$E$3:$G$6,3,0)</f>
        <v>Bahan Tambahan</v>
      </c>
      <c r="E90" s="31" t="s">
        <v>121</v>
      </c>
      <c r="F90" s="30">
        <v>0</v>
      </c>
      <c r="G90" s="30">
        <v>30</v>
      </c>
      <c r="H90" s="30">
        <v>270</v>
      </c>
      <c r="I90" s="30">
        <v>240</v>
      </c>
      <c r="J90" s="30" t="s">
        <v>87</v>
      </c>
      <c r="K90" s="32" t="s">
        <v>104</v>
      </c>
    </row>
    <row r="91" spans="1:11" ht="14.5" x14ac:dyDescent="0.35">
      <c r="A91" s="33">
        <v>45685</v>
      </c>
      <c r="B91" s="30" t="s">
        <v>56</v>
      </c>
      <c r="C91" s="31" t="str">
        <f>VLOOKUP(B91,'Kode Data'!$B$3:$C$23,2,0)</f>
        <v>Label Produk</v>
      </c>
      <c r="D91" s="30" t="str">
        <f>VLOOKUP(LEFT(B91,2),'Kode Data'!$E$3:$G$6,3,0)</f>
        <v>Kemasan</v>
      </c>
      <c r="E91" s="31" t="s">
        <v>120</v>
      </c>
      <c r="F91" s="30">
        <v>0</v>
      </c>
      <c r="G91" s="30">
        <v>250</v>
      </c>
      <c r="H91" s="30">
        <v>1600</v>
      </c>
      <c r="I91" s="30">
        <v>1350</v>
      </c>
      <c r="J91" s="30" t="s">
        <v>80</v>
      </c>
      <c r="K91" s="32" t="s">
        <v>93</v>
      </c>
    </row>
    <row r="92" spans="1:11" ht="14.5" x14ac:dyDescent="0.35">
      <c r="A92" s="33">
        <v>45685</v>
      </c>
      <c r="B92" s="30" t="s">
        <v>19</v>
      </c>
      <c r="C92" s="31" t="str">
        <f>VLOOKUP(B92,'Kode Data'!$B$3:$C$23,2,0)</f>
        <v>Bran Gandum</v>
      </c>
      <c r="D92" s="30" t="str">
        <f>VLOOKUP(LEFT(B92,2),'Kode Data'!$E$3:$G$6,3,0)</f>
        <v>Bahan Baku</v>
      </c>
      <c r="E92" s="31" t="s">
        <v>79</v>
      </c>
      <c r="F92" s="30">
        <v>0</v>
      </c>
      <c r="G92" s="30">
        <v>200</v>
      </c>
      <c r="H92" s="30">
        <v>1050</v>
      </c>
      <c r="I92" s="30">
        <v>850</v>
      </c>
      <c r="J92" s="30" t="s">
        <v>87</v>
      </c>
      <c r="K92" s="32" t="s">
        <v>104</v>
      </c>
    </row>
    <row r="93" spans="1:11" ht="14.5" x14ac:dyDescent="0.35">
      <c r="A93" s="29">
        <v>45686</v>
      </c>
      <c r="B93" s="30" t="s">
        <v>30</v>
      </c>
      <c r="C93" s="31" t="str">
        <f>VLOOKUP(B93,'Kode Data'!$B$3:$C$23,2,0)</f>
        <v>Vitamin Fortifikasi</v>
      </c>
      <c r="D93" s="30" t="str">
        <f>VLOOKUP(LEFT(B93,2),'Kode Data'!$E$3:$G$6,3,0)</f>
        <v>Bahan Tambahan</v>
      </c>
      <c r="E93" s="31" t="s">
        <v>101</v>
      </c>
      <c r="F93" s="30">
        <v>0</v>
      </c>
      <c r="G93" s="30">
        <v>70</v>
      </c>
      <c r="H93" s="30">
        <v>340</v>
      </c>
      <c r="I93" s="30">
        <v>270</v>
      </c>
      <c r="J93" s="30" t="s">
        <v>87</v>
      </c>
      <c r="K93" s="32" t="s">
        <v>104</v>
      </c>
    </row>
    <row r="94" spans="1:11" ht="14.5" x14ac:dyDescent="0.35">
      <c r="A94" s="33">
        <v>45686</v>
      </c>
      <c r="B94" s="30" t="s">
        <v>58</v>
      </c>
      <c r="C94" s="31" t="str">
        <f>VLOOKUP(B94,'Kode Data'!$B$3:$C$23,2,0)</f>
        <v>Pallet Kayu</v>
      </c>
      <c r="D94" s="30" t="str">
        <f>VLOOKUP(LEFT(B94,2),'Kode Data'!$E$3:$G$6,3,0)</f>
        <v>Kemasan</v>
      </c>
      <c r="E94" s="31" t="s">
        <v>122</v>
      </c>
      <c r="F94" s="30">
        <v>0</v>
      </c>
      <c r="G94" s="30">
        <v>20</v>
      </c>
      <c r="H94" s="30">
        <v>160</v>
      </c>
      <c r="I94" s="30">
        <v>140</v>
      </c>
      <c r="J94" s="30" t="s">
        <v>80</v>
      </c>
      <c r="K94" s="32" t="s">
        <v>93</v>
      </c>
    </row>
    <row r="95" spans="1:11" ht="14.5" x14ac:dyDescent="0.35">
      <c r="A95" s="33">
        <v>45686</v>
      </c>
      <c r="B95" s="30" t="s">
        <v>24</v>
      </c>
      <c r="C95" s="31" t="str">
        <f>VLOOKUP(B95,'Kode Data'!$B$3:$C$23,2,0)</f>
        <v>Germ Gandum</v>
      </c>
      <c r="D95" s="30" t="str">
        <f>VLOOKUP(LEFT(B95,2),'Kode Data'!$E$3:$G$6,3,0)</f>
        <v>Bahan Baku</v>
      </c>
      <c r="E95" s="31" t="s">
        <v>89</v>
      </c>
      <c r="F95" s="30">
        <v>0</v>
      </c>
      <c r="G95" s="30">
        <v>150</v>
      </c>
      <c r="H95" s="30">
        <v>880</v>
      </c>
      <c r="I95" s="30">
        <v>730</v>
      </c>
      <c r="J95" s="30" t="s">
        <v>87</v>
      </c>
      <c r="K95" s="32" t="s">
        <v>104</v>
      </c>
    </row>
    <row r="96" spans="1:11" ht="14.5" x14ac:dyDescent="0.35">
      <c r="A96" s="29">
        <v>45687</v>
      </c>
      <c r="B96" s="30" t="s">
        <v>34</v>
      </c>
      <c r="C96" s="31" t="str">
        <f>VLOOKUP(B96,'Kode Data'!$B$3:$C$23,2,0)</f>
        <v>Tepung Premix</v>
      </c>
      <c r="D96" s="30" t="str">
        <f>VLOOKUP(LEFT(B96,2),'Kode Data'!$E$3:$G$6,3,0)</f>
        <v>Bahan Tambahan</v>
      </c>
      <c r="E96" s="31" t="s">
        <v>82</v>
      </c>
      <c r="F96" s="30">
        <v>0</v>
      </c>
      <c r="G96" s="30">
        <v>120</v>
      </c>
      <c r="H96" s="30">
        <v>730</v>
      </c>
      <c r="I96" s="30">
        <v>610</v>
      </c>
      <c r="J96" s="30" t="s">
        <v>87</v>
      </c>
      <c r="K96" s="32" t="s">
        <v>104</v>
      </c>
    </row>
    <row r="97" spans="1:11" ht="14.5" x14ac:dyDescent="0.35">
      <c r="A97" s="33">
        <v>45690</v>
      </c>
      <c r="B97" s="30" t="s">
        <v>56</v>
      </c>
      <c r="C97" s="31" t="str">
        <f>VLOOKUP(B97,'Kode Data'!$B$3:$C$23,2,0)</f>
        <v>Label Produk</v>
      </c>
      <c r="D97" s="30" t="str">
        <f>VLOOKUP(LEFT(B97,2),'Kode Data'!$E$3:$G$6,3,0)</f>
        <v>Kemasan</v>
      </c>
      <c r="E97" s="31" t="s">
        <v>103</v>
      </c>
      <c r="F97" s="30">
        <v>600</v>
      </c>
      <c r="G97" s="30">
        <v>0</v>
      </c>
      <c r="H97" s="30">
        <v>1350</v>
      </c>
      <c r="I97" s="30">
        <v>1950</v>
      </c>
      <c r="J97" s="30" t="s">
        <v>80</v>
      </c>
      <c r="K97" s="32" t="s">
        <v>85</v>
      </c>
    </row>
    <row r="98" spans="1:11" ht="14.5" x14ac:dyDescent="0.35">
      <c r="A98" s="33">
        <v>45690</v>
      </c>
      <c r="B98" s="30" t="s">
        <v>19</v>
      </c>
      <c r="C98" s="31" t="str">
        <f>VLOOKUP(B98,'Kode Data'!$B$3:$C$23,2,0)</f>
        <v>Bran Gandum</v>
      </c>
      <c r="D98" s="30" t="str">
        <f>VLOOKUP(LEFT(B98,2),'Kode Data'!$E$3:$G$6,3,0)</f>
        <v>Bahan Baku</v>
      </c>
      <c r="E98" s="31" t="s">
        <v>98</v>
      </c>
      <c r="F98" s="30">
        <v>350</v>
      </c>
      <c r="G98" s="30">
        <v>0</v>
      </c>
      <c r="H98" s="30">
        <v>850</v>
      </c>
      <c r="I98" s="30">
        <v>1200</v>
      </c>
      <c r="J98" s="30" t="s">
        <v>87</v>
      </c>
      <c r="K98" s="32" t="s">
        <v>88</v>
      </c>
    </row>
    <row r="99" spans="1:11" ht="14.5" x14ac:dyDescent="0.35">
      <c r="A99" s="29">
        <v>45691</v>
      </c>
      <c r="B99" s="30" t="s">
        <v>26</v>
      </c>
      <c r="C99" s="31" t="str">
        <f>VLOOKUP(B99,'Kode Data'!$B$3:$C$23,2,0)</f>
        <v>Enzim Baking</v>
      </c>
      <c r="D99" s="30" t="str">
        <f>VLOOKUP(LEFT(B99,2),'Kode Data'!$E$3:$G$6,3,0)</f>
        <v>Bahan Tambahan</v>
      </c>
      <c r="E99" s="31" t="s">
        <v>106</v>
      </c>
      <c r="F99" s="30">
        <v>110</v>
      </c>
      <c r="G99" s="30">
        <v>0</v>
      </c>
      <c r="H99" s="30">
        <v>230</v>
      </c>
      <c r="I99" s="30">
        <v>340</v>
      </c>
      <c r="J99" s="30" t="s">
        <v>87</v>
      </c>
      <c r="K99" s="32" t="s">
        <v>96</v>
      </c>
    </row>
    <row r="100" spans="1:11" ht="14.5" x14ac:dyDescent="0.35">
      <c r="A100" s="29">
        <v>45691</v>
      </c>
      <c r="B100" s="30" t="s">
        <v>30</v>
      </c>
      <c r="C100" s="31" t="str">
        <f>VLOOKUP(B100,'Kode Data'!$B$3:$C$23,2,0)</f>
        <v>Vitamin Fortifikasi</v>
      </c>
      <c r="D100" s="30" t="str">
        <f>VLOOKUP(LEFT(B100,2),'Kode Data'!$E$3:$G$6,3,0)</f>
        <v>Bahan Tambahan</v>
      </c>
      <c r="E100" s="31" t="s">
        <v>112</v>
      </c>
      <c r="F100" s="30">
        <v>90</v>
      </c>
      <c r="G100" s="30">
        <v>0</v>
      </c>
      <c r="H100" s="30">
        <v>270</v>
      </c>
      <c r="I100" s="30">
        <v>360</v>
      </c>
      <c r="J100" s="30" t="s">
        <v>87</v>
      </c>
      <c r="K100" s="32" t="s">
        <v>96</v>
      </c>
    </row>
    <row r="101" spans="1:11" ht="14.5" x14ac:dyDescent="0.35">
      <c r="A101" s="29">
        <v>45691</v>
      </c>
      <c r="B101" s="30" t="s">
        <v>34</v>
      </c>
      <c r="C101" s="31" t="str">
        <f>VLOOKUP(B101,'Kode Data'!$B$3:$C$23,2,0)</f>
        <v>Tepung Premix</v>
      </c>
      <c r="D101" s="30" t="str">
        <f>VLOOKUP(LEFT(B101,2),'Kode Data'!$E$3:$G$6,3,0)</f>
        <v>Bahan Tambahan</v>
      </c>
      <c r="E101" s="31" t="s">
        <v>79</v>
      </c>
      <c r="F101" s="30">
        <v>220</v>
      </c>
      <c r="G101" s="30">
        <v>0</v>
      </c>
      <c r="H101" s="30">
        <v>610</v>
      </c>
      <c r="I101" s="30">
        <v>830</v>
      </c>
      <c r="J101" s="30" t="s">
        <v>87</v>
      </c>
      <c r="K101" s="32" t="s">
        <v>96</v>
      </c>
    </row>
    <row r="102" spans="1:11" ht="14.5" x14ac:dyDescent="0.35">
      <c r="A102" s="29">
        <v>45691</v>
      </c>
      <c r="B102" s="30" t="s">
        <v>38</v>
      </c>
      <c r="C102" s="31" t="str">
        <f>VLOOKUP(B102,'Kode Data'!$B$3:$C$23,2,0)</f>
        <v>Improver Tepung</v>
      </c>
      <c r="D102" s="30" t="str">
        <f>VLOOKUP(LEFT(B102,2),'Kode Data'!$E$3:$G$6,3,0)</f>
        <v>Bahan Tambahan</v>
      </c>
      <c r="E102" s="31" t="s">
        <v>107</v>
      </c>
      <c r="F102" s="30">
        <v>140</v>
      </c>
      <c r="G102" s="30">
        <v>0</v>
      </c>
      <c r="H102" s="30">
        <v>270</v>
      </c>
      <c r="I102" s="30">
        <v>410</v>
      </c>
      <c r="J102" s="30" t="s">
        <v>87</v>
      </c>
      <c r="K102" s="32" t="s">
        <v>96</v>
      </c>
    </row>
    <row r="103" spans="1:11" ht="14.5" x14ac:dyDescent="0.35">
      <c r="A103" s="29">
        <v>45691</v>
      </c>
      <c r="B103" s="30" t="s">
        <v>60</v>
      </c>
      <c r="C103" s="31" t="str">
        <f>VLOOKUP(B103,'Kode Data'!$B$3:$C$23,2,0)</f>
        <v>Tepung Terigu Protein Tinggi</v>
      </c>
      <c r="D103" s="30" t="str">
        <f>VLOOKUP(LEFT(B103,2),'Kode Data'!$E$3:$G$6,3,0)</f>
        <v>Produk</v>
      </c>
      <c r="E103" s="31" t="s">
        <v>108</v>
      </c>
      <c r="F103" s="30">
        <v>500</v>
      </c>
      <c r="G103" s="30">
        <v>0</v>
      </c>
      <c r="H103" s="30">
        <v>700</v>
      </c>
      <c r="I103" s="30">
        <v>1200</v>
      </c>
      <c r="J103" s="30" t="s">
        <v>80</v>
      </c>
      <c r="K103" s="32" t="s">
        <v>81</v>
      </c>
    </row>
    <row r="104" spans="1:11" ht="14.5" x14ac:dyDescent="0.35">
      <c r="A104" s="29">
        <v>45691</v>
      </c>
      <c r="B104" s="30" t="s">
        <v>62</v>
      </c>
      <c r="C104" s="31" t="str">
        <f>VLOOKUP(B104,'Kode Data'!$B$3:$C$23,2,0)</f>
        <v>Tepung Terigu Serbaguna</v>
      </c>
      <c r="D104" s="30" t="str">
        <f>VLOOKUP(LEFT(B104,2),'Kode Data'!$E$3:$G$6,3,0)</f>
        <v>Produk</v>
      </c>
      <c r="E104" s="31" t="s">
        <v>79</v>
      </c>
      <c r="F104" s="30">
        <v>400</v>
      </c>
      <c r="G104" s="30">
        <v>0</v>
      </c>
      <c r="H104" s="30">
        <v>650</v>
      </c>
      <c r="I104" s="30">
        <v>1050</v>
      </c>
      <c r="J104" s="30" t="s">
        <v>80</v>
      </c>
      <c r="K104" s="32" t="s">
        <v>81</v>
      </c>
    </row>
    <row r="105" spans="1:11" ht="14.5" x14ac:dyDescent="0.35">
      <c r="A105" s="33">
        <v>45691</v>
      </c>
      <c r="B105" s="30" t="s">
        <v>58</v>
      </c>
      <c r="C105" s="31" t="str">
        <f>VLOOKUP(B105,'Kode Data'!$B$3:$C$23,2,0)</f>
        <v>Pallet Kayu</v>
      </c>
      <c r="D105" s="30" t="str">
        <f>VLOOKUP(LEFT(B105,2),'Kode Data'!$E$3:$G$6,3,0)</f>
        <v>Kemasan</v>
      </c>
      <c r="E105" s="31" t="s">
        <v>94</v>
      </c>
      <c r="F105" s="30">
        <v>60</v>
      </c>
      <c r="G105" s="30">
        <v>0</v>
      </c>
      <c r="H105" s="30">
        <v>140</v>
      </c>
      <c r="I105" s="30">
        <v>200</v>
      </c>
      <c r="J105" s="30" t="s">
        <v>80</v>
      </c>
      <c r="K105" s="32" t="s">
        <v>85</v>
      </c>
    </row>
    <row r="106" spans="1:11" ht="14.5" x14ac:dyDescent="0.35">
      <c r="A106" s="33">
        <v>45692</v>
      </c>
      <c r="B106" s="30" t="s">
        <v>14</v>
      </c>
      <c r="C106" s="31" t="str">
        <f>VLOOKUP(B106,'Kode Data'!$B$3:$C$23,2,0)</f>
        <v>Gandum Durum</v>
      </c>
      <c r="D106" s="30" t="str">
        <f>VLOOKUP(LEFT(B106,2),'Kode Data'!$E$3:$G$6,3,0)</f>
        <v>Bahan Baku</v>
      </c>
      <c r="E106" s="31" t="s">
        <v>98</v>
      </c>
      <c r="F106" s="30">
        <v>350</v>
      </c>
      <c r="G106" s="30">
        <v>0</v>
      </c>
      <c r="H106" s="30">
        <v>1250</v>
      </c>
      <c r="I106" s="30">
        <v>1600</v>
      </c>
      <c r="J106" s="30" t="s">
        <v>87</v>
      </c>
      <c r="K106" s="32" t="s">
        <v>88</v>
      </c>
    </row>
    <row r="107" spans="1:11" ht="14.5" x14ac:dyDescent="0.35">
      <c r="A107" s="29">
        <v>45693</v>
      </c>
      <c r="B107" s="30" t="s">
        <v>42</v>
      </c>
      <c r="C107" s="31" t="str">
        <f>VLOOKUP(B107,'Kode Data'!$B$3:$C$23,2,0)</f>
        <v>Calcium Propionate</v>
      </c>
      <c r="D107" s="30" t="str">
        <f>VLOOKUP(LEFT(B107,2),'Kode Data'!$E$3:$G$6,3,0)</f>
        <v>Bahan Tambahan</v>
      </c>
      <c r="E107" s="31" t="s">
        <v>95</v>
      </c>
      <c r="F107" s="30">
        <v>60</v>
      </c>
      <c r="G107" s="30">
        <v>0</v>
      </c>
      <c r="H107" s="30">
        <v>240</v>
      </c>
      <c r="I107" s="30">
        <v>300</v>
      </c>
      <c r="J107" s="30" t="s">
        <v>87</v>
      </c>
      <c r="K107" s="32" t="s">
        <v>116</v>
      </c>
    </row>
    <row r="108" spans="1:11" ht="14.5" x14ac:dyDescent="0.35">
      <c r="A108" s="29">
        <v>45693</v>
      </c>
      <c r="B108" s="30" t="s">
        <v>66</v>
      </c>
      <c r="C108" s="31" t="str">
        <f>VLOOKUP(B108,'Kode Data'!$B$3:$C$23,2,0)</f>
        <v>Tepung Terigu Khusus Roti</v>
      </c>
      <c r="D108" s="30" t="str">
        <f>VLOOKUP(LEFT(B108,2),'Kode Data'!$E$3:$G$6,3,0)</f>
        <v>Produk</v>
      </c>
      <c r="E108" s="31" t="s">
        <v>82</v>
      </c>
      <c r="F108" s="30">
        <v>0</v>
      </c>
      <c r="G108" s="30">
        <v>500</v>
      </c>
      <c r="H108" s="30">
        <v>1700</v>
      </c>
      <c r="I108" s="30">
        <v>1200</v>
      </c>
      <c r="J108" s="30" t="s">
        <v>80</v>
      </c>
      <c r="K108" s="32" t="s">
        <v>90</v>
      </c>
    </row>
    <row r="109" spans="1:11" ht="14.5" x14ac:dyDescent="0.35">
      <c r="A109" s="33">
        <v>45693</v>
      </c>
      <c r="B109" s="30" t="s">
        <v>52</v>
      </c>
      <c r="C109" s="31" t="str">
        <f>VLOOKUP(B109,'Kode Data'!$B$3:$C$23,2,0)</f>
        <v>Plastik Kemasan 500 gr</v>
      </c>
      <c r="D109" s="30" t="str">
        <f>VLOOKUP(LEFT(B109,2),'Kode Data'!$E$3:$G$6,3,0)</f>
        <v>Kemasan</v>
      </c>
      <c r="E109" s="31" t="s">
        <v>123</v>
      </c>
      <c r="F109" s="30">
        <v>0</v>
      </c>
      <c r="G109" s="30">
        <v>400</v>
      </c>
      <c r="H109" s="30">
        <v>6800</v>
      </c>
      <c r="I109" s="30">
        <v>6400</v>
      </c>
      <c r="J109" s="30" t="s">
        <v>80</v>
      </c>
      <c r="K109" s="32" t="s">
        <v>93</v>
      </c>
    </row>
    <row r="110" spans="1:11" ht="14.5" x14ac:dyDescent="0.35">
      <c r="A110" s="33">
        <v>45693</v>
      </c>
      <c r="B110" s="30" t="s">
        <v>54</v>
      </c>
      <c r="C110" s="31" t="str">
        <f>VLOOKUP(B110,'Kode Data'!$B$3:$C$23,2,0)</f>
        <v>Karton Box</v>
      </c>
      <c r="D110" s="30" t="str">
        <f>VLOOKUP(LEFT(B110,2),'Kode Data'!$E$3:$G$6,3,0)</f>
        <v>Kemasan</v>
      </c>
      <c r="E110" s="31" t="s">
        <v>109</v>
      </c>
      <c r="F110" s="30">
        <v>1200</v>
      </c>
      <c r="G110" s="30">
        <v>0</v>
      </c>
      <c r="H110" s="30">
        <v>5800</v>
      </c>
      <c r="I110" s="30">
        <v>7000</v>
      </c>
      <c r="J110" s="30" t="s">
        <v>80</v>
      </c>
      <c r="K110" s="32" t="s">
        <v>85</v>
      </c>
    </row>
    <row r="111" spans="1:11" ht="14.5" x14ac:dyDescent="0.35">
      <c r="A111" s="33">
        <v>45693</v>
      </c>
      <c r="B111" s="30" t="s">
        <v>9</v>
      </c>
      <c r="C111" s="31" t="str">
        <f>VLOOKUP(B111,'Kode Data'!$B$3:$C$23,2,0)</f>
        <v>Gandum Soft Wheat</v>
      </c>
      <c r="D111" s="30" t="str">
        <f>VLOOKUP(LEFT(B111,2),'Kode Data'!$E$3:$G$6,3,0)</f>
        <v>Bahan Baku</v>
      </c>
      <c r="E111" s="31" t="s">
        <v>79</v>
      </c>
      <c r="F111" s="30">
        <v>450</v>
      </c>
      <c r="G111" s="30">
        <v>0</v>
      </c>
      <c r="H111" s="30">
        <v>1350</v>
      </c>
      <c r="I111" s="30">
        <v>1800</v>
      </c>
      <c r="J111" s="30" t="s">
        <v>87</v>
      </c>
      <c r="K111" s="32" t="s">
        <v>88</v>
      </c>
    </row>
    <row r="112" spans="1:11" ht="14.5" x14ac:dyDescent="0.35">
      <c r="A112" s="33">
        <v>45694</v>
      </c>
      <c r="B112" s="30" t="s">
        <v>24</v>
      </c>
      <c r="C112" s="31" t="str">
        <f>VLOOKUP(B112,'Kode Data'!$B$3:$C$23,2,0)</f>
        <v>Germ Gandum</v>
      </c>
      <c r="D112" s="30" t="str">
        <f>VLOOKUP(LEFT(B112,2),'Kode Data'!$E$3:$G$6,3,0)</f>
        <v>Bahan Baku</v>
      </c>
      <c r="E112" s="31" t="s">
        <v>98</v>
      </c>
      <c r="F112" s="30">
        <v>250</v>
      </c>
      <c r="G112" s="30">
        <v>0</v>
      </c>
      <c r="H112" s="30">
        <v>730</v>
      </c>
      <c r="I112" s="30">
        <v>980</v>
      </c>
      <c r="J112" s="30" t="s">
        <v>87</v>
      </c>
      <c r="K112" s="32" t="s">
        <v>88</v>
      </c>
    </row>
    <row r="113" spans="1:11" ht="14.5" x14ac:dyDescent="0.35">
      <c r="A113" s="33">
        <v>45695</v>
      </c>
      <c r="B113" s="30" t="s">
        <v>56</v>
      </c>
      <c r="C113" s="31" t="str">
        <f>VLOOKUP(B113,'Kode Data'!$B$3:$C$23,2,0)</f>
        <v>Label Produk</v>
      </c>
      <c r="D113" s="30" t="str">
        <f>VLOOKUP(LEFT(B113,2),'Kode Data'!$E$3:$G$6,3,0)</f>
        <v>Kemasan</v>
      </c>
      <c r="E113" s="31" t="s">
        <v>103</v>
      </c>
      <c r="F113" s="30">
        <v>0</v>
      </c>
      <c r="G113" s="30">
        <v>400</v>
      </c>
      <c r="H113" s="30">
        <v>1950</v>
      </c>
      <c r="I113" s="30">
        <v>1550</v>
      </c>
      <c r="J113" s="30" t="s">
        <v>80</v>
      </c>
      <c r="K113" s="32" t="s">
        <v>93</v>
      </c>
    </row>
    <row r="114" spans="1:11" ht="14.5" x14ac:dyDescent="0.35">
      <c r="A114" s="33">
        <v>45696</v>
      </c>
      <c r="B114" s="30" t="s">
        <v>4</v>
      </c>
      <c r="C114" s="31" t="str">
        <f>VLOOKUP(B114,'Kode Data'!$B$3:$C$23,2,0)</f>
        <v>Gandum Hard Wheat</v>
      </c>
      <c r="D114" s="30" t="str">
        <f>VLOOKUP(LEFT(B114,2),'Kode Data'!$E$3:$G$6,3,0)</f>
        <v>Bahan Baku</v>
      </c>
      <c r="E114" s="31" t="s">
        <v>79</v>
      </c>
      <c r="F114" s="30">
        <v>450</v>
      </c>
      <c r="G114" s="30">
        <v>0</v>
      </c>
      <c r="H114" s="30">
        <v>1350</v>
      </c>
      <c r="I114" s="30">
        <v>1800</v>
      </c>
      <c r="J114" s="30" t="s">
        <v>87</v>
      </c>
      <c r="K114" s="32" t="s">
        <v>88</v>
      </c>
    </row>
    <row r="115" spans="1:11" ht="14.5" x14ac:dyDescent="0.35">
      <c r="A115" s="33">
        <v>45697</v>
      </c>
      <c r="B115" s="30" t="s">
        <v>58</v>
      </c>
      <c r="C115" s="31" t="str">
        <f>VLOOKUP(B115,'Kode Data'!$B$3:$C$23,2,0)</f>
        <v>Pallet Kayu</v>
      </c>
      <c r="D115" s="30" t="str">
        <f>VLOOKUP(LEFT(B115,2),'Kode Data'!$E$3:$G$6,3,0)</f>
        <v>Kemasan</v>
      </c>
      <c r="E115" s="31" t="s">
        <v>105</v>
      </c>
      <c r="F115" s="30">
        <v>0</v>
      </c>
      <c r="G115" s="30">
        <v>50</v>
      </c>
      <c r="H115" s="30">
        <v>200</v>
      </c>
      <c r="I115" s="30">
        <v>150</v>
      </c>
      <c r="J115" s="30" t="s">
        <v>80</v>
      </c>
      <c r="K115" s="32" t="s">
        <v>93</v>
      </c>
    </row>
    <row r="116" spans="1:11" ht="14.5" x14ac:dyDescent="0.35">
      <c r="A116" s="29">
        <v>45698</v>
      </c>
      <c r="B116" s="30" t="s">
        <v>26</v>
      </c>
      <c r="C116" s="31" t="str">
        <f>VLOOKUP(B116,'Kode Data'!$B$3:$C$23,2,0)</f>
        <v>Enzim Baking</v>
      </c>
      <c r="D116" s="30" t="str">
        <f>VLOOKUP(LEFT(B116,2),'Kode Data'!$E$3:$G$6,3,0)</f>
        <v>Bahan Tambahan</v>
      </c>
      <c r="E116" s="31" t="s">
        <v>115</v>
      </c>
      <c r="F116" s="30">
        <v>0</v>
      </c>
      <c r="G116" s="30">
        <v>90</v>
      </c>
      <c r="H116" s="30">
        <v>340</v>
      </c>
      <c r="I116" s="30">
        <v>250</v>
      </c>
      <c r="J116" s="30" t="s">
        <v>87</v>
      </c>
      <c r="K116" s="32" t="s">
        <v>104</v>
      </c>
    </row>
    <row r="117" spans="1:11" ht="14.5" x14ac:dyDescent="0.35">
      <c r="A117" s="29">
        <v>45698</v>
      </c>
      <c r="B117" s="30" t="s">
        <v>66</v>
      </c>
      <c r="C117" s="31" t="str">
        <f>VLOOKUP(B117,'Kode Data'!$B$3:$C$23,2,0)</f>
        <v>Tepung Terigu Khusus Roti</v>
      </c>
      <c r="D117" s="30" t="str">
        <f>VLOOKUP(LEFT(B117,2),'Kode Data'!$E$3:$G$6,3,0)</f>
        <v>Produk</v>
      </c>
      <c r="E117" s="31" t="s">
        <v>89</v>
      </c>
      <c r="F117" s="30">
        <v>400</v>
      </c>
      <c r="G117" s="30">
        <v>0</v>
      </c>
      <c r="H117" s="30">
        <v>1200</v>
      </c>
      <c r="I117" s="30">
        <v>1600</v>
      </c>
      <c r="J117" s="30" t="s">
        <v>80</v>
      </c>
      <c r="K117" s="32" t="s">
        <v>81</v>
      </c>
    </row>
    <row r="118" spans="1:11" ht="14.5" x14ac:dyDescent="0.35">
      <c r="A118" s="33">
        <v>45698</v>
      </c>
      <c r="B118" s="30" t="s">
        <v>19</v>
      </c>
      <c r="C118" s="31" t="str">
        <f>VLOOKUP(B118,'Kode Data'!$B$3:$C$23,2,0)</f>
        <v>Bran Gandum</v>
      </c>
      <c r="D118" s="30" t="str">
        <f>VLOOKUP(LEFT(B118,2),'Kode Data'!$E$3:$G$6,3,0)</f>
        <v>Bahan Baku</v>
      </c>
      <c r="E118" s="31" t="s">
        <v>118</v>
      </c>
      <c r="F118" s="30">
        <v>0</v>
      </c>
      <c r="G118" s="30">
        <v>250</v>
      </c>
      <c r="H118" s="30">
        <v>1200</v>
      </c>
      <c r="I118" s="30">
        <v>950</v>
      </c>
      <c r="J118" s="30" t="s">
        <v>87</v>
      </c>
      <c r="K118" s="32" t="s">
        <v>104</v>
      </c>
    </row>
    <row r="119" spans="1:11" ht="14.5" x14ac:dyDescent="0.35">
      <c r="A119" s="29">
        <v>45699</v>
      </c>
      <c r="B119" s="30" t="s">
        <v>30</v>
      </c>
      <c r="C119" s="31" t="str">
        <f>VLOOKUP(B119,'Kode Data'!$B$3:$C$23,2,0)</f>
        <v>Vitamin Fortifikasi</v>
      </c>
      <c r="D119" s="30" t="str">
        <f>VLOOKUP(LEFT(B119,2),'Kode Data'!$E$3:$G$6,3,0)</f>
        <v>Bahan Tambahan</v>
      </c>
      <c r="E119" s="31" t="s">
        <v>119</v>
      </c>
      <c r="F119" s="30">
        <v>0</v>
      </c>
      <c r="G119" s="30">
        <v>60</v>
      </c>
      <c r="H119" s="30">
        <v>360</v>
      </c>
      <c r="I119" s="30">
        <v>300</v>
      </c>
      <c r="J119" s="30" t="s">
        <v>87</v>
      </c>
      <c r="K119" s="32" t="s">
        <v>104</v>
      </c>
    </row>
    <row r="120" spans="1:11" ht="14.5" x14ac:dyDescent="0.35">
      <c r="A120" s="29">
        <v>45699</v>
      </c>
      <c r="B120" s="30" t="s">
        <v>34</v>
      </c>
      <c r="C120" s="31" t="str">
        <f>VLOOKUP(B120,'Kode Data'!$B$3:$C$23,2,0)</f>
        <v>Tepung Premix</v>
      </c>
      <c r="D120" s="30" t="str">
        <f>VLOOKUP(LEFT(B120,2),'Kode Data'!$E$3:$G$6,3,0)</f>
        <v>Bahan Tambahan</v>
      </c>
      <c r="E120" s="31" t="s">
        <v>89</v>
      </c>
      <c r="F120" s="30">
        <v>0</v>
      </c>
      <c r="G120" s="30">
        <v>200</v>
      </c>
      <c r="H120" s="30">
        <v>830</v>
      </c>
      <c r="I120" s="30">
        <v>630</v>
      </c>
      <c r="J120" s="30" t="s">
        <v>87</v>
      </c>
      <c r="K120" s="32" t="s">
        <v>104</v>
      </c>
    </row>
    <row r="121" spans="1:11" ht="14.5" x14ac:dyDescent="0.35">
      <c r="A121" s="29">
        <v>45699</v>
      </c>
      <c r="B121" s="30" t="s">
        <v>38</v>
      </c>
      <c r="C121" s="31" t="str">
        <f>VLOOKUP(B121,'Kode Data'!$B$3:$C$23,2,0)</f>
        <v>Improver Tepung</v>
      </c>
      <c r="D121" s="30" t="str">
        <f>VLOOKUP(LEFT(B121,2),'Kode Data'!$E$3:$G$6,3,0)</f>
        <v>Bahan Tambahan</v>
      </c>
      <c r="E121" s="31" t="s">
        <v>117</v>
      </c>
      <c r="F121" s="30">
        <v>0</v>
      </c>
      <c r="G121" s="30">
        <v>90</v>
      </c>
      <c r="H121" s="30">
        <v>410</v>
      </c>
      <c r="I121" s="30">
        <v>320</v>
      </c>
      <c r="J121" s="30" t="s">
        <v>87</v>
      </c>
      <c r="K121" s="32" t="s">
        <v>104</v>
      </c>
    </row>
    <row r="122" spans="1:11" ht="14.5" x14ac:dyDescent="0.35">
      <c r="A122" s="29">
        <v>45699</v>
      </c>
      <c r="B122" s="30" t="s">
        <v>60</v>
      </c>
      <c r="C122" s="31" t="str">
        <f>VLOOKUP(B122,'Kode Data'!$B$3:$C$23,2,0)</f>
        <v>Tepung Terigu Protein Tinggi</v>
      </c>
      <c r="D122" s="30" t="str">
        <f>VLOOKUP(LEFT(B122,2),'Kode Data'!$E$3:$G$6,3,0)</f>
        <v>Produk</v>
      </c>
      <c r="E122" s="31" t="s">
        <v>113</v>
      </c>
      <c r="F122" s="30">
        <v>0</v>
      </c>
      <c r="G122" s="30">
        <v>400</v>
      </c>
      <c r="H122" s="30">
        <v>1200</v>
      </c>
      <c r="I122" s="30">
        <v>800</v>
      </c>
      <c r="J122" s="30" t="s">
        <v>80</v>
      </c>
      <c r="K122" s="32" t="s">
        <v>90</v>
      </c>
    </row>
    <row r="123" spans="1:11" ht="14.5" x14ac:dyDescent="0.35">
      <c r="A123" s="29">
        <v>45699</v>
      </c>
      <c r="B123" s="30" t="s">
        <v>62</v>
      </c>
      <c r="C123" s="31" t="str">
        <f>VLOOKUP(B123,'Kode Data'!$B$3:$C$23,2,0)</f>
        <v>Tepung Terigu Serbaguna</v>
      </c>
      <c r="D123" s="30" t="str">
        <f>VLOOKUP(LEFT(B123,2),'Kode Data'!$E$3:$G$6,3,0)</f>
        <v>Produk</v>
      </c>
      <c r="E123" s="31" t="s">
        <v>89</v>
      </c>
      <c r="F123" s="30">
        <v>0</v>
      </c>
      <c r="G123" s="30">
        <v>500</v>
      </c>
      <c r="H123" s="30">
        <v>1050</v>
      </c>
      <c r="I123" s="30">
        <v>550</v>
      </c>
      <c r="J123" s="30" t="s">
        <v>80</v>
      </c>
      <c r="K123" s="32" t="s">
        <v>90</v>
      </c>
    </row>
    <row r="124" spans="1:11" ht="14.5" x14ac:dyDescent="0.35">
      <c r="A124" s="33">
        <v>45699</v>
      </c>
      <c r="B124" s="30" t="s">
        <v>54</v>
      </c>
      <c r="C124" s="31" t="str">
        <f>VLOOKUP(B124,'Kode Data'!$B$3:$C$23,2,0)</f>
        <v>Karton Box</v>
      </c>
      <c r="D124" s="30" t="str">
        <f>VLOOKUP(LEFT(B124,2),'Kode Data'!$E$3:$G$6,3,0)</f>
        <v>Kemasan</v>
      </c>
      <c r="E124" s="31" t="s">
        <v>114</v>
      </c>
      <c r="F124" s="30">
        <v>0</v>
      </c>
      <c r="G124" s="30">
        <v>500</v>
      </c>
      <c r="H124" s="30">
        <v>7000</v>
      </c>
      <c r="I124" s="30">
        <v>6500</v>
      </c>
      <c r="J124" s="30" t="s">
        <v>80</v>
      </c>
      <c r="K124" s="32" t="s">
        <v>93</v>
      </c>
    </row>
    <row r="125" spans="1:11" ht="14.5" x14ac:dyDescent="0.35">
      <c r="A125" s="33">
        <v>45699</v>
      </c>
      <c r="B125" s="30" t="s">
        <v>9</v>
      </c>
      <c r="C125" s="31" t="str">
        <f>VLOOKUP(B125,'Kode Data'!$B$3:$C$23,2,0)</f>
        <v>Gandum Soft Wheat</v>
      </c>
      <c r="D125" s="30" t="str">
        <f>VLOOKUP(LEFT(B125,2),'Kode Data'!$E$3:$G$6,3,0)</f>
        <v>Bahan Baku</v>
      </c>
      <c r="E125" s="31" t="s">
        <v>89</v>
      </c>
      <c r="F125" s="30">
        <v>0</v>
      </c>
      <c r="G125" s="30">
        <v>350</v>
      </c>
      <c r="H125" s="30">
        <v>1800</v>
      </c>
      <c r="I125" s="30">
        <v>1450</v>
      </c>
      <c r="J125" s="30" t="s">
        <v>87</v>
      </c>
      <c r="K125" s="32" t="s">
        <v>104</v>
      </c>
    </row>
    <row r="126" spans="1:11" ht="14.5" x14ac:dyDescent="0.35">
      <c r="A126" s="33">
        <v>45699</v>
      </c>
      <c r="B126" s="30" t="s">
        <v>24</v>
      </c>
      <c r="C126" s="31" t="str">
        <f>VLOOKUP(B126,'Kode Data'!$B$3:$C$23,2,0)</f>
        <v>Germ Gandum</v>
      </c>
      <c r="D126" s="30" t="str">
        <f>VLOOKUP(LEFT(B126,2),'Kode Data'!$E$3:$G$6,3,0)</f>
        <v>Bahan Baku</v>
      </c>
      <c r="E126" s="31" t="s">
        <v>98</v>
      </c>
      <c r="F126" s="30">
        <v>0</v>
      </c>
      <c r="G126" s="30">
        <v>180</v>
      </c>
      <c r="H126" s="30">
        <v>980</v>
      </c>
      <c r="I126" s="30">
        <v>800</v>
      </c>
      <c r="J126" s="30" t="s">
        <v>87</v>
      </c>
      <c r="K126" s="32" t="s">
        <v>104</v>
      </c>
    </row>
    <row r="127" spans="1:11" ht="14.5" x14ac:dyDescent="0.35">
      <c r="A127" s="29">
        <v>45700</v>
      </c>
      <c r="B127" s="30" t="s">
        <v>42</v>
      </c>
      <c r="C127" s="31" t="str">
        <f>VLOOKUP(B127,'Kode Data'!$B$3:$C$23,2,0)</f>
        <v>Calcium Propionate</v>
      </c>
      <c r="D127" s="30" t="str">
        <f>VLOOKUP(LEFT(B127,2),'Kode Data'!$E$3:$G$6,3,0)</f>
        <v>Bahan Tambahan</v>
      </c>
      <c r="E127" s="31" t="s">
        <v>111</v>
      </c>
      <c r="F127" s="30">
        <v>0</v>
      </c>
      <c r="G127" s="30">
        <v>25</v>
      </c>
      <c r="H127" s="30">
        <v>300</v>
      </c>
      <c r="I127" s="30">
        <v>275</v>
      </c>
      <c r="J127" s="30" t="s">
        <v>87</v>
      </c>
      <c r="K127" s="32" t="s">
        <v>104</v>
      </c>
    </row>
    <row r="128" spans="1:11" ht="14.5" x14ac:dyDescent="0.35">
      <c r="A128" s="29">
        <v>45701</v>
      </c>
      <c r="B128" s="30" t="s">
        <v>68</v>
      </c>
      <c r="C128" s="31" t="str">
        <f>VLOOKUP(B128,'Kode Data'!$B$3:$C$23,2,0)</f>
        <v>Tepung Terigu Khusus Kue</v>
      </c>
      <c r="D128" s="30" t="str">
        <f>VLOOKUP(LEFT(B128,2),'Kode Data'!$E$3:$G$6,3,0)</f>
        <v>Produk</v>
      </c>
      <c r="E128" s="31" t="s">
        <v>89</v>
      </c>
      <c r="F128" s="30">
        <v>600</v>
      </c>
      <c r="G128" s="30">
        <v>0</v>
      </c>
      <c r="H128" s="30">
        <v>1650</v>
      </c>
      <c r="I128" s="30">
        <v>2250</v>
      </c>
      <c r="J128" s="30" t="s">
        <v>80</v>
      </c>
      <c r="K128" s="32" t="s">
        <v>81</v>
      </c>
    </row>
    <row r="129" spans="1:11" ht="14.5" x14ac:dyDescent="0.35">
      <c r="A129" s="33">
        <v>45701</v>
      </c>
      <c r="B129" s="30" t="s">
        <v>14</v>
      </c>
      <c r="C129" s="31" t="str">
        <f>VLOOKUP(B129,'Kode Data'!$B$3:$C$23,2,0)</f>
        <v>Gandum Durum</v>
      </c>
      <c r="D129" s="30" t="str">
        <f>VLOOKUP(LEFT(B129,2),'Kode Data'!$E$3:$G$6,3,0)</f>
        <v>Bahan Baku</v>
      </c>
      <c r="E129" s="31" t="s">
        <v>89</v>
      </c>
      <c r="F129" s="30">
        <v>0</v>
      </c>
      <c r="G129" s="30">
        <v>300</v>
      </c>
      <c r="H129" s="30">
        <v>1600</v>
      </c>
      <c r="I129" s="30">
        <v>1300</v>
      </c>
      <c r="J129" s="30" t="s">
        <v>87</v>
      </c>
      <c r="K129" s="32" t="s">
        <v>104</v>
      </c>
    </row>
    <row r="130" spans="1:11" ht="14.5" x14ac:dyDescent="0.35">
      <c r="A130" s="29">
        <v>45702</v>
      </c>
      <c r="B130" s="30" t="s">
        <v>64</v>
      </c>
      <c r="C130" s="31" t="str">
        <f>VLOOKUP(B130,'Kode Data'!$B$3:$C$23,2,0)</f>
        <v>Tepung Terigu Protein Rendah</v>
      </c>
      <c r="D130" s="30" t="str">
        <f>VLOOKUP(LEFT(B130,2),'Kode Data'!$E$3:$G$6,3,0)</f>
        <v>Produk</v>
      </c>
      <c r="E130" s="31" t="s">
        <v>79</v>
      </c>
      <c r="F130" s="30">
        <v>0</v>
      </c>
      <c r="G130" s="30">
        <v>450</v>
      </c>
      <c r="H130" s="30">
        <v>1950</v>
      </c>
      <c r="I130" s="30">
        <v>1500</v>
      </c>
      <c r="J130" s="30" t="s">
        <v>80</v>
      </c>
      <c r="K130" s="32" t="s">
        <v>90</v>
      </c>
    </row>
    <row r="131" spans="1:11" ht="14.5" x14ac:dyDescent="0.35">
      <c r="A131" s="29">
        <v>45702</v>
      </c>
      <c r="B131" s="30" t="s">
        <v>46</v>
      </c>
      <c r="C131" s="31" t="str">
        <f>VLOOKUP(B131,'Kode Data'!$B$3:$C$23,2,0)</f>
        <v>Karung Kemasan 25 Kg</v>
      </c>
      <c r="D131" s="30" t="str">
        <f>VLOOKUP(LEFT(B131,2),'Kode Data'!$E$3:$G$6,3,0)</f>
        <v>Kemasan</v>
      </c>
      <c r="E131" s="31" t="s">
        <v>97</v>
      </c>
      <c r="F131" s="30">
        <v>350</v>
      </c>
      <c r="G131" s="30">
        <v>0</v>
      </c>
      <c r="H131" s="30">
        <v>1600</v>
      </c>
      <c r="I131" s="30">
        <v>1950</v>
      </c>
      <c r="J131" s="30" t="s">
        <v>80</v>
      </c>
      <c r="K131" s="32" t="s">
        <v>85</v>
      </c>
    </row>
    <row r="132" spans="1:11" ht="14.5" x14ac:dyDescent="0.35">
      <c r="A132" s="33">
        <v>45702</v>
      </c>
      <c r="B132" s="30" t="s">
        <v>4</v>
      </c>
      <c r="C132" s="31" t="str">
        <f>VLOOKUP(B132,'Kode Data'!$B$3:$C$23,2,0)</f>
        <v>Gandum Hard Wheat</v>
      </c>
      <c r="D132" s="30" t="str">
        <f>VLOOKUP(LEFT(B132,2),'Kode Data'!$E$3:$G$6,3,0)</f>
        <v>Bahan Baku</v>
      </c>
      <c r="E132" s="31" t="s">
        <v>98</v>
      </c>
      <c r="F132" s="30">
        <v>0</v>
      </c>
      <c r="G132" s="30">
        <v>350</v>
      </c>
      <c r="H132" s="30">
        <v>1800</v>
      </c>
      <c r="I132" s="30">
        <v>1450</v>
      </c>
      <c r="J132" s="30" t="s">
        <v>87</v>
      </c>
      <c r="K132" s="32" t="s">
        <v>104</v>
      </c>
    </row>
    <row r="133" spans="1:11" ht="14.5" x14ac:dyDescent="0.35">
      <c r="A133" s="29">
        <v>45703</v>
      </c>
      <c r="B133" s="30" t="s">
        <v>68</v>
      </c>
      <c r="C133" s="31" t="str">
        <f>VLOOKUP(B133,'Kode Data'!$B$3:$C$23,2,0)</f>
        <v>Tepung Terigu Khusus Kue</v>
      </c>
      <c r="D133" s="30" t="str">
        <f>VLOOKUP(LEFT(B133,2),'Kode Data'!$E$3:$G$6,3,0)</f>
        <v>Produk</v>
      </c>
      <c r="E133" s="31" t="s">
        <v>83</v>
      </c>
      <c r="F133" s="30">
        <v>0</v>
      </c>
      <c r="G133" s="30">
        <v>400</v>
      </c>
      <c r="H133" s="30">
        <v>2250</v>
      </c>
      <c r="I133" s="30">
        <v>1850</v>
      </c>
      <c r="J133" s="30" t="s">
        <v>80</v>
      </c>
      <c r="K133" s="32" t="s">
        <v>90</v>
      </c>
    </row>
    <row r="134" spans="1:11" ht="14.5" x14ac:dyDescent="0.35">
      <c r="A134" s="29">
        <v>45703</v>
      </c>
      <c r="B134" s="30" t="s">
        <v>50</v>
      </c>
      <c r="C134" s="31" t="str">
        <f>VLOOKUP(B134,'Kode Data'!$B$3:$C$23,2,0)</f>
        <v>Plastik Kemasan 1 Kg</v>
      </c>
      <c r="D134" s="30" t="str">
        <f>VLOOKUP(LEFT(B134,2),'Kode Data'!$E$3:$G$6,3,0)</f>
        <v>Kemasan</v>
      </c>
      <c r="E134" s="31" t="s">
        <v>92</v>
      </c>
      <c r="F134" s="30">
        <v>0</v>
      </c>
      <c r="G134" s="30">
        <v>400</v>
      </c>
      <c r="H134" s="30">
        <v>7850</v>
      </c>
      <c r="I134" s="30">
        <v>7450</v>
      </c>
      <c r="J134" s="30" t="s">
        <v>80</v>
      </c>
      <c r="K134" s="32" t="s">
        <v>93</v>
      </c>
    </row>
    <row r="135" spans="1:11" ht="14.5" x14ac:dyDescent="0.35">
      <c r="A135" s="33">
        <v>45703</v>
      </c>
      <c r="B135" s="30" t="s">
        <v>56</v>
      </c>
      <c r="C135" s="31" t="str">
        <f>VLOOKUP(B135,'Kode Data'!$B$3:$C$23,2,0)</f>
        <v>Label Produk</v>
      </c>
      <c r="D135" s="30" t="str">
        <f>VLOOKUP(LEFT(B135,2),'Kode Data'!$E$3:$G$6,3,0)</f>
        <v>Kemasan</v>
      </c>
      <c r="E135" s="31" t="s">
        <v>120</v>
      </c>
      <c r="F135" s="30">
        <v>300</v>
      </c>
      <c r="G135" s="30">
        <v>0</v>
      </c>
      <c r="H135" s="30">
        <v>1550</v>
      </c>
      <c r="I135" s="30">
        <v>1850</v>
      </c>
      <c r="J135" s="30" t="s">
        <v>80</v>
      </c>
      <c r="K135" s="32" t="s">
        <v>85</v>
      </c>
    </row>
    <row r="136" spans="1:11" ht="14.5" x14ac:dyDescent="0.35">
      <c r="A136" s="33">
        <v>45703</v>
      </c>
      <c r="B136" s="30" t="s">
        <v>24</v>
      </c>
      <c r="C136" s="31" t="str">
        <f>VLOOKUP(B136,'Kode Data'!$B$3:$C$23,2,0)</f>
        <v>Germ Gandum</v>
      </c>
      <c r="D136" s="30" t="str">
        <f>VLOOKUP(LEFT(B136,2),'Kode Data'!$E$3:$G$6,3,0)</f>
        <v>Bahan Baku</v>
      </c>
      <c r="E136" s="31" t="s">
        <v>79</v>
      </c>
      <c r="F136" s="30">
        <v>220</v>
      </c>
      <c r="G136" s="30">
        <v>0</v>
      </c>
      <c r="H136" s="30">
        <v>800</v>
      </c>
      <c r="I136" s="30">
        <v>1020</v>
      </c>
      <c r="J136" s="30" t="s">
        <v>87</v>
      </c>
      <c r="K136" s="32" t="s">
        <v>110</v>
      </c>
    </row>
    <row r="137" spans="1:11" ht="14.5" x14ac:dyDescent="0.35">
      <c r="A137" s="29">
        <v>45704</v>
      </c>
      <c r="B137" s="30" t="s">
        <v>64</v>
      </c>
      <c r="C137" s="31" t="str">
        <f>VLOOKUP(B137,'Kode Data'!$B$3:$C$23,2,0)</f>
        <v>Tepung Terigu Protein Rendah</v>
      </c>
      <c r="D137" s="30" t="str">
        <f>VLOOKUP(LEFT(B137,2),'Kode Data'!$E$3:$G$6,3,0)</f>
        <v>Produk</v>
      </c>
      <c r="E137" s="31" t="s">
        <v>89</v>
      </c>
      <c r="F137" s="30">
        <v>550</v>
      </c>
      <c r="G137" s="30">
        <v>0</v>
      </c>
      <c r="H137" s="30">
        <v>1500</v>
      </c>
      <c r="I137" s="30">
        <v>2050</v>
      </c>
      <c r="J137" s="30" t="s">
        <v>80</v>
      </c>
      <c r="K137" s="32" t="s">
        <v>81</v>
      </c>
    </row>
    <row r="138" spans="1:11" ht="14.5" x14ac:dyDescent="0.35">
      <c r="A138" s="29">
        <v>45704</v>
      </c>
      <c r="B138" s="30" t="s">
        <v>46</v>
      </c>
      <c r="C138" s="31" t="str">
        <f>VLOOKUP(B138,'Kode Data'!$B$3:$C$23,2,0)</f>
        <v>Karung Kemasan 25 Kg</v>
      </c>
      <c r="D138" s="30" t="str">
        <f>VLOOKUP(LEFT(B138,2),'Kode Data'!$E$3:$G$6,3,0)</f>
        <v>Kemasan</v>
      </c>
      <c r="E138" s="31" t="s">
        <v>84</v>
      </c>
      <c r="F138" s="30">
        <v>0</v>
      </c>
      <c r="G138" s="30">
        <v>200</v>
      </c>
      <c r="H138" s="30">
        <v>1950</v>
      </c>
      <c r="I138" s="30">
        <v>1750</v>
      </c>
      <c r="J138" s="30" t="s">
        <v>80</v>
      </c>
      <c r="K138" s="32" t="s">
        <v>93</v>
      </c>
    </row>
    <row r="139" spans="1:11" ht="14.5" x14ac:dyDescent="0.35">
      <c r="A139" s="33">
        <v>45704</v>
      </c>
      <c r="B139" s="30" t="s">
        <v>58</v>
      </c>
      <c r="C139" s="31" t="str">
        <f>VLOOKUP(B139,'Kode Data'!$B$3:$C$23,2,0)</f>
        <v>Pallet Kayu</v>
      </c>
      <c r="D139" s="30" t="str">
        <f>VLOOKUP(LEFT(B139,2),'Kode Data'!$E$3:$G$6,3,0)</f>
        <v>Kemasan</v>
      </c>
      <c r="E139" s="31" t="s">
        <v>122</v>
      </c>
      <c r="F139" s="30">
        <v>30</v>
      </c>
      <c r="G139" s="30">
        <v>0</v>
      </c>
      <c r="H139" s="30">
        <v>150</v>
      </c>
      <c r="I139" s="30">
        <v>180</v>
      </c>
      <c r="J139" s="30" t="s">
        <v>80</v>
      </c>
      <c r="K139" s="32" t="s">
        <v>85</v>
      </c>
    </row>
    <row r="140" spans="1:11" ht="14.5" x14ac:dyDescent="0.35">
      <c r="A140" s="29">
        <v>45705</v>
      </c>
      <c r="B140" s="30" t="s">
        <v>60</v>
      </c>
      <c r="C140" s="31" t="str">
        <f>VLOOKUP(B140,'Kode Data'!$B$3:$C$23,2,0)</f>
        <v>Tepung Terigu Protein Tinggi</v>
      </c>
      <c r="D140" s="30" t="str">
        <f>VLOOKUP(LEFT(B140,2),'Kode Data'!$E$3:$G$6,3,0)</f>
        <v>Produk</v>
      </c>
      <c r="E140" s="31" t="s">
        <v>102</v>
      </c>
      <c r="F140" s="30">
        <v>600</v>
      </c>
      <c r="G140" s="30">
        <v>0</v>
      </c>
      <c r="H140" s="30">
        <v>800</v>
      </c>
      <c r="I140" s="30">
        <v>1400</v>
      </c>
      <c r="J140" s="30" t="s">
        <v>80</v>
      </c>
      <c r="K140" s="32" t="s">
        <v>81</v>
      </c>
    </row>
    <row r="141" spans="1:11" ht="14.5" x14ac:dyDescent="0.35">
      <c r="A141" s="29">
        <v>45705</v>
      </c>
      <c r="B141" s="30" t="s">
        <v>50</v>
      </c>
      <c r="C141" s="31" t="str">
        <f>VLOOKUP(B141,'Kode Data'!$B$3:$C$23,2,0)</f>
        <v>Plastik Kemasan 1 Kg</v>
      </c>
      <c r="D141" s="30" t="str">
        <f>VLOOKUP(LEFT(B141,2),'Kode Data'!$E$3:$G$6,3,0)</f>
        <v>Kemasan</v>
      </c>
      <c r="E141" s="31" t="s">
        <v>99</v>
      </c>
      <c r="F141" s="30">
        <v>700</v>
      </c>
      <c r="G141" s="30">
        <v>0</v>
      </c>
      <c r="H141" s="30">
        <v>7450</v>
      </c>
      <c r="I141" s="30">
        <v>8150</v>
      </c>
      <c r="J141" s="30" t="s">
        <v>80</v>
      </c>
      <c r="K141" s="32" t="s">
        <v>85</v>
      </c>
    </row>
    <row r="142" spans="1:11" ht="14.5" x14ac:dyDescent="0.35">
      <c r="A142" s="33">
        <v>45705</v>
      </c>
      <c r="B142" s="30" t="s">
        <v>19</v>
      </c>
      <c r="C142" s="31" t="str">
        <f>VLOOKUP(B142,'Kode Data'!$B$3:$C$23,2,0)</f>
        <v>Bran Gandum</v>
      </c>
      <c r="D142" s="30" t="str">
        <f>VLOOKUP(LEFT(B142,2),'Kode Data'!$E$3:$G$6,3,0)</f>
        <v>Bahan Baku</v>
      </c>
      <c r="E142" s="31" t="s">
        <v>79</v>
      </c>
      <c r="F142" s="30">
        <v>300</v>
      </c>
      <c r="G142" s="30">
        <v>0</v>
      </c>
      <c r="H142" s="30">
        <v>950</v>
      </c>
      <c r="I142" s="30">
        <v>1250</v>
      </c>
      <c r="J142" s="30" t="s">
        <v>87</v>
      </c>
      <c r="K142" s="32" t="s">
        <v>110</v>
      </c>
    </row>
    <row r="143" spans="1:11" ht="14.5" x14ac:dyDescent="0.35">
      <c r="A143" s="29">
        <v>45706</v>
      </c>
      <c r="B143" s="30" t="s">
        <v>26</v>
      </c>
      <c r="C143" s="31" t="str">
        <f>VLOOKUP(B143,'Kode Data'!$B$3:$C$23,2,0)</f>
        <v>Enzim Baking</v>
      </c>
      <c r="D143" s="30" t="str">
        <f>VLOOKUP(LEFT(B143,2),'Kode Data'!$E$3:$G$6,3,0)</f>
        <v>Bahan Tambahan</v>
      </c>
      <c r="E143" s="31" t="s">
        <v>100</v>
      </c>
      <c r="F143" s="30">
        <v>80</v>
      </c>
      <c r="G143" s="30">
        <v>0</v>
      </c>
      <c r="H143" s="30">
        <v>250</v>
      </c>
      <c r="I143" s="30">
        <v>330</v>
      </c>
      <c r="J143" s="30" t="s">
        <v>87</v>
      </c>
      <c r="K143" s="32" t="s">
        <v>116</v>
      </c>
    </row>
    <row r="144" spans="1:11" ht="14.5" x14ac:dyDescent="0.35">
      <c r="A144" s="29">
        <v>45706</v>
      </c>
      <c r="B144" s="30" t="s">
        <v>34</v>
      </c>
      <c r="C144" s="31" t="str">
        <f>VLOOKUP(B144,'Kode Data'!$B$3:$C$23,2,0)</f>
        <v>Tepung Premix</v>
      </c>
      <c r="D144" s="30" t="str">
        <f>VLOOKUP(LEFT(B144,2),'Kode Data'!$E$3:$G$6,3,0)</f>
        <v>Bahan Tambahan</v>
      </c>
      <c r="E144" s="31" t="s">
        <v>82</v>
      </c>
      <c r="F144" s="30">
        <v>150</v>
      </c>
      <c r="G144" s="30">
        <v>0</v>
      </c>
      <c r="H144" s="30">
        <v>630</v>
      </c>
      <c r="I144" s="30">
        <v>780</v>
      </c>
      <c r="J144" s="30" t="s">
        <v>87</v>
      </c>
      <c r="K144" s="32" t="s">
        <v>96</v>
      </c>
    </row>
    <row r="145" spans="1:11" ht="14.5" x14ac:dyDescent="0.35">
      <c r="A145" s="29">
        <v>45706</v>
      </c>
      <c r="B145" s="30" t="s">
        <v>42</v>
      </c>
      <c r="C145" s="31" t="str">
        <f>VLOOKUP(B145,'Kode Data'!$B$3:$C$23,2,0)</f>
        <v>Calcium Propionate</v>
      </c>
      <c r="D145" s="30" t="str">
        <f>VLOOKUP(LEFT(B145,2),'Kode Data'!$E$3:$G$6,3,0)</f>
        <v>Bahan Tambahan</v>
      </c>
      <c r="E145" s="31" t="s">
        <v>121</v>
      </c>
      <c r="F145" s="30">
        <v>50</v>
      </c>
      <c r="G145" s="30">
        <v>0</v>
      </c>
      <c r="H145" s="30">
        <v>275</v>
      </c>
      <c r="I145" s="30">
        <v>325</v>
      </c>
      <c r="J145" s="30" t="s">
        <v>87</v>
      </c>
      <c r="K145" s="32" t="s">
        <v>116</v>
      </c>
    </row>
    <row r="146" spans="1:11" ht="14.5" x14ac:dyDescent="0.35">
      <c r="A146" s="29">
        <v>45706</v>
      </c>
      <c r="B146" s="30" t="s">
        <v>64</v>
      </c>
      <c r="C146" s="31" t="str">
        <f>VLOOKUP(B146,'Kode Data'!$B$3:$C$23,2,0)</f>
        <v>Tepung Terigu Protein Rendah</v>
      </c>
      <c r="D146" s="30" t="str">
        <f>VLOOKUP(LEFT(B146,2),'Kode Data'!$E$3:$G$6,3,0)</f>
        <v>Produk</v>
      </c>
      <c r="E146" s="31" t="s">
        <v>82</v>
      </c>
      <c r="F146" s="30">
        <v>0</v>
      </c>
      <c r="G146" s="30">
        <v>500</v>
      </c>
      <c r="H146" s="30">
        <v>2050</v>
      </c>
      <c r="I146" s="30">
        <v>1550</v>
      </c>
      <c r="J146" s="30" t="s">
        <v>80</v>
      </c>
      <c r="K146" s="32" t="s">
        <v>90</v>
      </c>
    </row>
    <row r="147" spans="1:11" ht="14.5" x14ac:dyDescent="0.35">
      <c r="A147" s="33">
        <v>45706</v>
      </c>
      <c r="B147" s="30" t="s">
        <v>54</v>
      </c>
      <c r="C147" s="31" t="str">
        <f>VLOOKUP(B147,'Kode Data'!$B$3:$C$23,2,0)</f>
        <v>Karton Box</v>
      </c>
      <c r="D147" s="30" t="str">
        <f>VLOOKUP(LEFT(B147,2),'Kode Data'!$E$3:$G$6,3,0)</f>
        <v>Kemasan</v>
      </c>
      <c r="E147" s="31" t="s">
        <v>97</v>
      </c>
      <c r="F147" s="30">
        <v>600</v>
      </c>
      <c r="G147" s="30">
        <v>0</v>
      </c>
      <c r="H147" s="30">
        <v>6500</v>
      </c>
      <c r="I147" s="30">
        <v>7100</v>
      </c>
      <c r="J147" s="30" t="s">
        <v>80</v>
      </c>
      <c r="K147" s="32" t="s">
        <v>85</v>
      </c>
    </row>
    <row r="148" spans="1:11" ht="14.5" x14ac:dyDescent="0.35">
      <c r="A148" s="29">
        <v>45707</v>
      </c>
      <c r="B148" s="30" t="s">
        <v>30</v>
      </c>
      <c r="C148" s="31" t="str">
        <f>VLOOKUP(B148,'Kode Data'!$B$3:$C$23,2,0)</f>
        <v>Vitamin Fortifikasi</v>
      </c>
      <c r="D148" s="30" t="str">
        <f>VLOOKUP(LEFT(B148,2),'Kode Data'!$E$3:$G$6,3,0)</f>
        <v>Bahan Tambahan</v>
      </c>
      <c r="E148" s="31" t="s">
        <v>101</v>
      </c>
      <c r="F148" s="30">
        <v>110</v>
      </c>
      <c r="G148" s="30">
        <v>0</v>
      </c>
      <c r="H148" s="30">
        <v>300</v>
      </c>
      <c r="I148" s="30">
        <v>410</v>
      </c>
      <c r="J148" s="30" t="s">
        <v>87</v>
      </c>
      <c r="K148" s="32" t="s">
        <v>116</v>
      </c>
    </row>
    <row r="149" spans="1:11" ht="14.5" x14ac:dyDescent="0.35">
      <c r="A149" s="29">
        <v>45707</v>
      </c>
      <c r="B149" s="30" t="s">
        <v>38</v>
      </c>
      <c r="C149" s="31" t="str">
        <f>VLOOKUP(B149,'Kode Data'!$B$3:$C$23,2,0)</f>
        <v>Improver Tepung</v>
      </c>
      <c r="D149" s="30" t="str">
        <f>VLOOKUP(LEFT(B149,2),'Kode Data'!$E$3:$G$6,3,0)</f>
        <v>Bahan Tambahan</v>
      </c>
      <c r="E149" s="31" t="s">
        <v>95</v>
      </c>
      <c r="F149" s="30">
        <v>120</v>
      </c>
      <c r="G149" s="30">
        <v>0</v>
      </c>
      <c r="H149" s="30">
        <v>320</v>
      </c>
      <c r="I149" s="30">
        <v>440</v>
      </c>
      <c r="J149" s="30" t="s">
        <v>87</v>
      </c>
      <c r="K149" s="32" t="s">
        <v>116</v>
      </c>
    </row>
    <row r="150" spans="1:11" ht="14.5" x14ac:dyDescent="0.35">
      <c r="A150" s="29">
        <v>45707</v>
      </c>
      <c r="B150" s="30" t="s">
        <v>62</v>
      </c>
      <c r="C150" s="31" t="str">
        <f>VLOOKUP(B150,'Kode Data'!$B$3:$C$23,2,0)</f>
        <v>Tepung Terigu Serbaguna</v>
      </c>
      <c r="D150" s="30" t="str">
        <f>VLOOKUP(LEFT(B150,2),'Kode Data'!$E$3:$G$6,3,0)</f>
        <v>Produk</v>
      </c>
      <c r="E150" s="31" t="s">
        <v>82</v>
      </c>
      <c r="F150" s="30">
        <v>600</v>
      </c>
      <c r="G150" s="30">
        <v>0</v>
      </c>
      <c r="H150" s="30">
        <v>550</v>
      </c>
      <c r="I150" s="30">
        <v>1150</v>
      </c>
      <c r="J150" s="30" t="s">
        <v>80</v>
      </c>
      <c r="K150" s="32" t="s">
        <v>81</v>
      </c>
    </row>
    <row r="151" spans="1:11" ht="14.5" x14ac:dyDescent="0.35">
      <c r="A151" s="29">
        <v>45707</v>
      </c>
      <c r="B151" s="30" t="s">
        <v>64</v>
      </c>
      <c r="C151" s="31" t="str">
        <f>VLOOKUP(B151,'Kode Data'!$B$3:$C$23,2,0)</f>
        <v>Tepung Terigu Protein Rendah</v>
      </c>
      <c r="D151" s="30" t="str">
        <f>VLOOKUP(LEFT(B151,2),'Kode Data'!$E$3:$G$6,3,0)</f>
        <v>Produk</v>
      </c>
      <c r="E151" s="31" t="s">
        <v>79</v>
      </c>
      <c r="F151" s="30">
        <v>600</v>
      </c>
      <c r="G151" s="30">
        <v>0</v>
      </c>
      <c r="H151" s="30">
        <v>1550</v>
      </c>
      <c r="I151" s="30">
        <v>2150</v>
      </c>
      <c r="J151" s="30" t="s">
        <v>80</v>
      </c>
      <c r="K151" s="32" t="s">
        <v>81</v>
      </c>
    </row>
    <row r="152" spans="1:11" ht="14.5" x14ac:dyDescent="0.35">
      <c r="A152" s="33">
        <v>45707</v>
      </c>
      <c r="B152" s="30" t="s">
        <v>52</v>
      </c>
      <c r="C152" s="31" t="str">
        <f>VLOOKUP(B152,'Kode Data'!$B$3:$C$23,2,0)</f>
        <v>Plastik Kemasan 500 gr</v>
      </c>
      <c r="D152" s="30" t="str">
        <f>VLOOKUP(LEFT(B152,2),'Kode Data'!$E$3:$G$6,3,0)</f>
        <v>Kemasan</v>
      </c>
      <c r="E152" s="31" t="s">
        <v>86</v>
      </c>
      <c r="F152" s="30">
        <v>0</v>
      </c>
      <c r="G152" s="30">
        <v>350</v>
      </c>
      <c r="H152" s="30">
        <v>6400</v>
      </c>
      <c r="I152" s="30">
        <v>6050</v>
      </c>
      <c r="J152" s="30" t="s">
        <v>80</v>
      </c>
      <c r="K152" s="32" t="s">
        <v>93</v>
      </c>
    </row>
    <row r="153" spans="1:11" ht="14.5" x14ac:dyDescent="0.35">
      <c r="A153" s="33">
        <v>45707</v>
      </c>
      <c r="B153" s="30" t="s">
        <v>9</v>
      </c>
      <c r="C153" s="31" t="str">
        <f>VLOOKUP(B153,'Kode Data'!$B$3:$C$23,2,0)</f>
        <v>Gandum Soft Wheat</v>
      </c>
      <c r="D153" s="30" t="str">
        <f>VLOOKUP(LEFT(B153,2),'Kode Data'!$E$3:$G$6,3,0)</f>
        <v>Bahan Baku</v>
      </c>
      <c r="E153" s="31" t="s">
        <v>98</v>
      </c>
      <c r="F153" s="30">
        <v>300</v>
      </c>
      <c r="G153" s="30">
        <v>0</v>
      </c>
      <c r="H153" s="30">
        <v>1450</v>
      </c>
      <c r="I153" s="30">
        <v>1750</v>
      </c>
      <c r="J153" s="30" t="s">
        <v>87</v>
      </c>
      <c r="K153" s="32" t="s">
        <v>110</v>
      </c>
    </row>
    <row r="154" spans="1:11" ht="14.5" x14ac:dyDescent="0.35">
      <c r="A154" s="29">
        <v>45708</v>
      </c>
      <c r="B154" s="30" t="s">
        <v>64</v>
      </c>
      <c r="C154" s="31" t="str">
        <f>VLOOKUP(B154,'Kode Data'!$B$3:$C$23,2,0)</f>
        <v>Tepung Terigu Protein Rendah</v>
      </c>
      <c r="D154" s="30" t="str">
        <f>VLOOKUP(LEFT(B154,2),'Kode Data'!$E$3:$G$6,3,0)</f>
        <v>Produk</v>
      </c>
      <c r="E154" s="31" t="s">
        <v>89</v>
      </c>
      <c r="F154" s="30">
        <v>0</v>
      </c>
      <c r="G154" s="30">
        <v>450</v>
      </c>
      <c r="H154" s="30">
        <v>2150</v>
      </c>
      <c r="I154" s="30">
        <v>1700</v>
      </c>
      <c r="J154" s="30" t="s">
        <v>80</v>
      </c>
      <c r="K154" s="32" t="s">
        <v>90</v>
      </c>
    </row>
    <row r="155" spans="1:11" ht="14.5" x14ac:dyDescent="0.35">
      <c r="A155" s="33">
        <v>45709</v>
      </c>
      <c r="B155" s="30" t="s">
        <v>56</v>
      </c>
      <c r="C155" s="31" t="str">
        <f>VLOOKUP(B155,'Kode Data'!$B$3:$C$23,2,0)</f>
        <v>Label Produk</v>
      </c>
      <c r="D155" s="30" t="str">
        <f>VLOOKUP(LEFT(B155,2),'Kode Data'!$E$3:$G$6,3,0)</f>
        <v>Kemasan</v>
      </c>
      <c r="E155" s="31" t="s">
        <v>120</v>
      </c>
      <c r="F155" s="30">
        <v>0</v>
      </c>
      <c r="G155" s="30">
        <v>350</v>
      </c>
      <c r="H155" s="30">
        <v>1850</v>
      </c>
      <c r="I155" s="30">
        <v>1500</v>
      </c>
      <c r="J155" s="30" t="s">
        <v>80</v>
      </c>
      <c r="K155" s="32" t="s">
        <v>93</v>
      </c>
    </row>
    <row r="156" spans="1:11" ht="14.5" x14ac:dyDescent="0.35">
      <c r="A156" s="33">
        <v>45710</v>
      </c>
      <c r="B156" s="30" t="s">
        <v>14</v>
      </c>
      <c r="C156" s="31" t="str">
        <f>VLOOKUP(B156,'Kode Data'!$B$3:$C$23,2,0)</f>
        <v>Gandum Durum</v>
      </c>
      <c r="D156" s="30" t="str">
        <f>VLOOKUP(LEFT(B156,2),'Kode Data'!$E$3:$G$6,3,0)</f>
        <v>Bahan Baku</v>
      </c>
      <c r="E156" s="31" t="s">
        <v>79</v>
      </c>
      <c r="F156" s="30">
        <v>200</v>
      </c>
      <c r="G156" s="30">
        <v>0</v>
      </c>
      <c r="H156" s="30">
        <v>1300</v>
      </c>
      <c r="I156" s="30">
        <v>1500</v>
      </c>
      <c r="J156" s="30" t="s">
        <v>87</v>
      </c>
      <c r="K156" s="32" t="s">
        <v>110</v>
      </c>
    </row>
    <row r="157" spans="1:11" ht="14.5" x14ac:dyDescent="0.35">
      <c r="A157" s="33">
        <v>45711</v>
      </c>
      <c r="B157" s="30" t="s">
        <v>24</v>
      </c>
      <c r="C157" s="31" t="str">
        <f>VLOOKUP(B157,'Kode Data'!$B$3:$C$23,2,0)</f>
        <v>Germ Gandum</v>
      </c>
      <c r="D157" s="30" t="str">
        <f>VLOOKUP(LEFT(B157,2),'Kode Data'!$E$3:$G$6,3,0)</f>
        <v>Bahan Baku</v>
      </c>
      <c r="E157" s="31" t="s">
        <v>79</v>
      </c>
      <c r="F157" s="30">
        <v>0</v>
      </c>
      <c r="G157" s="30">
        <v>140</v>
      </c>
      <c r="H157" s="30">
        <v>1020</v>
      </c>
      <c r="I157" s="30">
        <v>880</v>
      </c>
      <c r="J157" s="30" t="s">
        <v>87</v>
      </c>
      <c r="K157" s="32" t="s">
        <v>104</v>
      </c>
    </row>
    <row r="158" spans="1:11" ht="14.5" x14ac:dyDescent="0.35">
      <c r="A158" s="29">
        <v>45712</v>
      </c>
      <c r="B158" s="30" t="s">
        <v>60</v>
      </c>
      <c r="C158" s="31" t="str">
        <f>VLOOKUP(B158,'Kode Data'!$B$3:$C$23,2,0)</f>
        <v>Tepung Terigu Protein Tinggi</v>
      </c>
      <c r="D158" s="30" t="str">
        <f>VLOOKUP(LEFT(B158,2),'Kode Data'!$E$3:$G$6,3,0)</f>
        <v>Produk</v>
      </c>
      <c r="E158" s="31" t="s">
        <v>108</v>
      </c>
      <c r="F158" s="30">
        <v>0</v>
      </c>
      <c r="G158" s="30">
        <v>600</v>
      </c>
      <c r="H158" s="30">
        <v>1400</v>
      </c>
      <c r="I158" s="30">
        <v>800</v>
      </c>
      <c r="J158" s="30" t="s">
        <v>80</v>
      </c>
      <c r="K158" s="32" t="s">
        <v>90</v>
      </c>
    </row>
    <row r="159" spans="1:11" ht="14.5" x14ac:dyDescent="0.35">
      <c r="A159" s="29">
        <v>45712</v>
      </c>
      <c r="B159" s="30" t="s">
        <v>62</v>
      </c>
      <c r="C159" s="31" t="str">
        <f>VLOOKUP(B159,'Kode Data'!$B$3:$C$23,2,0)</f>
        <v>Tepung Terigu Serbaguna</v>
      </c>
      <c r="D159" s="30" t="str">
        <f>VLOOKUP(LEFT(B159,2),'Kode Data'!$E$3:$G$6,3,0)</f>
        <v>Produk</v>
      </c>
      <c r="E159" s="31" t="s">
        <v>79</v>
      </c>
      <c r="F159" s="30">
        <v>0</v>
      </c>
      <c r="G159" s="30">
        <v>400</v>
      </c>
      <c r="H159" s="30">
        <v>1150</v>
      </c>
      <c r="I159" s="30">
        <v>750</v>
      </c>
      <c r="J159" s="30" t="s">
        <v>80</v>
      </c>
      <c r="K159" s="32" t="s">
        <v>90</v>
      </c>
    </row>
    <row r="160" spans="1:11" ht="14.5" x14ac:dyDescent="0.35">
      <c r="A160" s="33">
        <v>45712</v>
      </c>
      <c r="B160" s="30" t="s">
        <v>54</v>
      </c>
      <c r="C160" s="31" t="str">
        <f>VLOOKUP(B160,'Kode Data'!$B$3:$C$23,2,0)</f>
        <v>Karton Box</v>
      </c>
      <c r="D160" s="30" t="str">
        <f>VLOOKUP(LEFT(B160,2),'Kode Data'!$E$3:$G$6,3,0)</f>
        <v>Kemasan</v>
      </c>
      <c r="E160" s="31" t="s">
        <v>109</v>
      </c>
      <c r="F160" s="30">
        <v>0</v>
      </c>
      <c r="G160" s="30">
        <v>400</v>
      </c>
      <c r="H160" s="30">
        <v>7100</v>
      </c>
      <c r="I160" s="30">
        <v>6700</v>
      </c>
      <c r="J160" s="30" t="s">
        <v>80</v>
      </c>
      <c r="K160" s="32" t="s">
        <v>93</v>
      </c>
    </row>
    <row r="161" spans="1:11" ht="14.5" x14ac:dyDescent="0.35">
      <c r="A161" s="33">
        <v>45712</v>
      </c>
      <c r="B161" s="30" t="s">
        <v>58</v>
      </c>
      <c r="C161" s="31" t="str">
        <f>VLOOKUP(B161,'Kode Data'!$B$3:$C$23,2,0)</f>
        <v>Pallet Kayu</v>
      </c>
      <c r="D161" s="30" t="str">
        <f>VLOOKUP(LEFT(B161,2),'Kode Data'!$E$3:$G$6,3,0)</f>
        <v>Kemasan</v>
      </c>
      <c r="E161" s="31" t="s">
        <v>94</v>
      </c>
      <c r="F161" s="30">
        <v>0</v>
      </c>
      <c r="G161" s="30">
        <v>40</v>
      </c>
      <c r="H161" s="30">
        <v>180</v>
      </c>
      <c r="I161" s="30">
        <v>140</v>
      </c>
      <c r="J161" s="30" t="s">
        <v>80</v>
      </c>
      <c r="K161" s="32" t="s">
        <v>93</v>
      </c>
    </row>
    <row r="162" spans="1:11" ht="14.5" x14ac:dyDescent="0.35">
      <c r="A162" s="33">
        <v>45712</v>
      </c>
      <c r="B162" s="30" t="s">
        <v>19</v>
      </c>
      <c r="C162" s="31" t="str">
        <f>VLOOKUP(B162,'Kode Data'!$B$3:$C$23,2,0)</f>
        <v>Bran Gandum</v>
      </c>
      <c r="D162" s="30" t="str">
        <f>VLOOKUP(LEFT(B162,2),'Kode Data'!$E$3:$G$6,3,0)</f>
        <v>Bahan Baku</v>
      </c>
      <c r="E162" s="31" t="s">
        <v>98</v>
      </c>
      <c r="F162" s="30">
        <v>0</v>
      </c>
      <c r="G162" s="30">
        <v>200</v>
      </c>
      <c r="H162" s="30">
        <v>1250</v>
      </c>
      <c r="I162" s="30">
        <v>1050</v>
      </c>
      <c r="J162" s="30" t="s">
        <v>87</v>
      </c>
      <c r="K162" s="32" t="s">
        <v>104</v>
      </c>
    </row>
    <row r="163" spans="1:11" ht="14.5" x14ac:dyDescent="0.35">
      <c r="A163" s="29">
        <v>45713</v>
      </c>
      <c r="B163" s="30" t="s">
        <v>26</v>
      </c>
      <c r="C163" s="31" t="str">
        <f>VLOOKUP(B163,'Kode Data'!$B$3:$C$23,2,0)</f>
        <v>Enzim Baking</v>
      </c>
      <c r="D163" s="30" t="str">
        <f>VLOOKUP(LEFT(B163,2),'Kode Data'!$E$3:$G$6,3,0)</f>
        <v>Bahan Tambahan</v>
      </c>
      <c r="E163" s="31" t="s">
        <v>106</v>
      </c>
      <c r="F163" s="30">
        <v>0</v>
      </c>
      <c r="G163" s="30">
        <v>70</v>
      </c>
      <c r="H163" s="30">
        <v>330</v>
      </c>
      <c r="I163" s="30">
        <v>260</v>
      </c>
      <c r="J163" s="30" t="s">
        <v>87</v>
      </c>
      <c r="K163" s="32" t="s">
        <v>104</v>
      </c>
    </row>
    <row r="164" spans="1:11" ht="14.5" x14ac:dyDescent="0.35">
      <c r="A164" s="29">
        <v>45713</v>
      </c>
      <c r="B164" s="30" t="s">
        <v>38</v>
      </c>
      <c r="C164" s="31" t="str">
        <f>VLOOKUP(B164,'Kode Data'!$B$3:$C$23,2,0)</f>
        <v>Improver Tepung</v>
      </c>
      <c r="D164" s="30" t="str">
        <f>VLOOKUP(LEFT(B164,2),'Kode Data'!$E$3:$G$6,3,0)</f>
        <v>Bahan Tambahan</v>
      </c>
      <c r="E164" s="31" t="s">
        <v>107</v>
      </c>
      <c r="F164" s="30">
        <v>0</v>
      </c>
      <c r="G164" s="30">
        <v>100</v>
      </c>
      <c r="H164" s="30">
        <v>440</v>
      </c>
      <c r="I164" s="30">
        <v>340</v>
      </c>
      <c r="J164" s="30" t="s">
        <v>87</v>
      </c>
      <c r="K164" s="32" t="s">
        <v>104</v>
      </c>
    </row>
    <row r="165" spans="1:11" ht="14.5" x14ac:dyDescent="0.35">
      <c r="A165" s="29">
        <v>45713</v>
      </c>
      <c r="B165" s="30" t="s">
        <v>42</v>
      </c>
      <c r="C165" s="31" t="str">
        <f>VLOOKUP(B165,'Kode Data'!$B$3:$C$23,2,0)</f>
        <v>Calcium Propionate</v>
      </c>
      <c r="D165" s="30" t="str">
        <f>VLOOKUP(LEFT(B165,2),'Kode Data'!$E$3:$G$6,3,0)</f>
        <v>Bahan Tambahan</v>
      </c>
      <c r="E165" s="31" t="s">
        <v>95</v>
      </c>
      <c r="F165" s="30">
        <v>0</v>
      </c>
      <c r="G165" s="30">
        <v>30</v>
      </c>
      <c r="H165" s="30">
        <v>325</v>
      </c>
      <c r="I165" s="30">
        <v>295</v>
      </c>
      <c r="J165" s="30" t="s">
        <v>87</v>
      </c>
      <c r="K165" s="32" t="s">
        <v>104</v>
      </c>
    </row>
    <row r="166" spans="1:11" ht="14.5" x14ac:dyDescent="0.35">
      <c r="A166" s="29">
        <v>45714</v>
      </c>
      <c r="B166" s="30" t="s">
        <v>30</v>
      </c>
      <c r="C166" s="31" t="str">
        <f>VLOOKUP(B166,'Kode Data'!$B$3:$C$23,2,0)</f>
        <v>Vitamin Fortifikasi</v>
      </c>
      <c r="D166" s="30" t="str">
        <f>VLOOKUP(LEFT(B166,2),'Kode Data'!$E$3:$G$6,3,0)</f>
        <v>Bahan Tambahan</v>
      </c>
      <c r="E166" s="31" t="s">
        <v>112</v>
      </c>
      <c r="F166" s="30">
        <v>0</v>
      </c>
      <c r="G166" s="30">
        <v>85</v>
      </c>
      <c r="H166" s="30">
        <v>410</v>
      </c>
      <c r="I166" s="30">
        <v>325</v>
      </c>
      <c r="J166" s="30" t="s">
        <v>87</v>
      </c>
      <c r="K166" s="32" t="s">
        <v>104</v>
      </c>
    </row>
    <row r="167" spans="1:11" ht="14.5" x14ac:dyDescent="0.35">
      <c r="A167" s="29">
        <v>45714</v>
      </c>
      <c r="B167" s="30" t="s">
        <v>34</v>
      </c>
      <c r="C167" s="31" t="str">
        <f>VLOOKUP(B167,'Kode Data'!$B$3:$C$23,2,0)</f>
        <v>Tepung Premix</v>
      </c>
      <c r="D167" s="30" t="str">
        <f>VLOOKUP(LEFT(B167,2),'Kode Data'!$E$3:$G$6,3,0)</f>
        <v>Bahan Tambahan</v>
      </c>
      <c r="E167" s="31" t="s">
        <v>79</v>
      </c>
      <c r="F167" s="30">
        <v>0</v>
      </c>
      <c r="G167" s="30">
        <v>130</v>
      </c>
      <c r="H167" s="30">
        <v>780</v>
      </c>
      <c r="I167" s="30">
        <v>650</v>
      </c>
      <c r="J167" s="30" t="s">
        <v>87</v>
      </c>
      <c r="K167" s="32" t="s">
        <v>104</v>
      </c>
    </row>
    <row r="168" spans="1:11" ht="14.5" x14ac:dyDescent="0.35">
      <c r="A168" s="33">
        <v>45715</v>
      </c>
      <c r="B168" s="30" t="s">
        <v>4</v>
      </c>
      <c r="C168" s="31" t="str">
        <f>VLOOKUP(B168,'Kode Data'!$B$3:$C$23,2,0)</f>
        <v>Gandum Hard Wheat</v>
      </c>
      <c r="D168" s="30" t="str">
        <f>VLOOKUP(LEFT(B168,2),'Kode Data'!$E$3:$G$6,3,0)</f>
        <v>Bahan Baku</v>
      </c>
      <c r="E168" s="31" t="s">
        <v>89</v>
      </c>
      <c r="F168" s="30">
        <v>500</v>
      </c>
      <c r="G168" s="30">
        <v>0</v>
      </c>
      <c r="H168" s="30">
        <v>1450</v>
      </c>
      <c r="I168" s="30">
        <v>1950</v>
      </c>
      <c r="J168" s="30" t="s">
        <v>87</v>
      </c>
      <c r="K168" s="32" t="s">
        <v>110</v>
      </c>
    </row>
    <row r="169" spans="1:11" ht="14.5" x14ac:dyDescent="0.35">
      <c r="A169" s="33">
        <v>45716</v>
      </c>
      <c r="B169" s="30" t="s">
        <v>9</v>
      </c>
      <c r="C169" s="31" t="str">
        <f>VLOOKUP(B169,'Kode Data'!$B$3:$C$23,2,0)</f>
        <v>Gandum Soft Wheat</v>
      </c>
      <c r="D169" s="30" t="str">
        <f>VLOOKUP(LEFT(B169,2),'Kode Data'!$E$3:$G$6,3,0)</f>
        <v>Bahan Baku</v>
      </c>
      <c r="E169" s="31" t="s">
        <v>79</v>
      </c>
      <c r="F169" s="30">
        <v>0</v>
      </c>
      <c r="G169" s="30">
        <v>250</v>
      </c>
      <c r="H169" s="30">
        <v>1750</v>
      </c>
      <c r="I169" s="30">
        <v>1500</v>
      </c>
      <c r="J169" s="30" t="s">
        <v>87</v>
      </c>
      <c r="K169" s="32" t="s">
        <v>104</v>
      </c>
    </row>
    <row r="170" spans="1:11" ht="14.5" x14ac:dyDescent="0.35">
      <c r="A170" s="33">
        <v>45718</v>
      </c>
      <c r="B170" s="30" t="s">
        <v>54</v>
      </c>
      <c r="C170" s="31" t="str">
        <f>VLOOKUP(B170,'Kode Data'!$B$3:$C$23,2,0)</f>
        <v>Karton Box</v>
      </c>
      <c r="D170" s="30" t="str">
        <f>VLOOKUP(LEFT(B170,2),'Kode Data'!$E$3:$G$6,3,0)</f>
        <v>Kemasan</v>
      </c>
      <c r="E170" s="31" t="s">
        <v>114</v>
      </c>
      <c r="F170" s="30">
        <v>1000</v>
      </c>
      <c r="G170" s="30">
        <v>0</v>
      </c>
      <c r="H170" s="30">
        <v>6700</v>
      </c>
      <c r="I170" s="30">
        <v>7700</v>
      </c>
      <c r="J170" s="30" t="s">
        <v>80</v>
      </c>
      <c r="K170" s="32" t="s">
        <v>85</v>
      </c>
    </row>
    <row r="171" spans="1:11" ht="14.5" x14ac:dyDescent="0.35">
      <c r="A171" s="33">
        <v>45718</v>
      </c>
      <c r="B171" s="30" t="s">
        <v>24</v>
      </c>
      <c r="C171" s="31" t="str">
        <f>VLOOKUP(B171,'Kode Data'!$B$3:$C$23,2,0)</f>
        <v>Germ Gandum</v>
      </c>
      <c r="D171" s="30" t="str">
        <f>VLOOKUP(LEFT(B171,2),'Kode Data'!$E$3:$G$6,3,0)</f>
        <v>Bahan Baku</v>
      </c>
      <c r="E171" s="31" t="s">
        <v>89</v>
      </c>
      <c r="F171" s="30">
        <v>260</v>
      </c>
      <c r="G171" s="30">
        <v>0</v>
      </c>
      <c r="H171" s="30">
        <v>880</v>
      </c>
      <c r="I171" s="30">
        <v>1140</v>
      </c>
      <c r="J171" s="30" t="s">
        <v>87</v>
      </c>
      <c r="K171" s="32" t="s">
        <v>88</v>
      </c>
    </row>
    <row r="172" spans="1:11" ht="14.5" x14ac:dyDescent="0.35">
      <c r="A172" s="33">
        <v>45719</v>
      </c>
      <c r="B172" s="30" t="s">
        <v>4</v>
      </c>
      <c r="C172" s="31" t="str">
        <f>VLOOKUP(B172,'Kode Data'!$B$3:$C$23,2,0)</f>
        <v>Gandum Hard Wheat</v>
      </c>
      <c r="D172" s="30" t="str">
        <f>VLOOKUP(LEFT(B172,2),'Kode Data'!$E$3:$G$6,3,0)</f>
        <v>Bahan Baku</v>
      </c>
      <c r="E172" s="31" t="s">
        <v>79</v>
      </c>
      <c r="F172" s="30">
        <v>0</v>
      </c>
      <c r="G172" s="30">
        <v>300</v>
      </c>
      <c r="H172" s="30">
        <v>1950</v>
      </c>
      <c r="I172" s="30">
        <v>1650</v>
      </c>
      <c r="J172" s="30" t="s">
        <v>87</v>
      </c>
      <c r="K172" s="32" t="s">
        <v>104</v>
      </c>
    </row>
    <row r="173" spans="1:11" ht="14.5" x14ac:dyDescent="0.35">
      <c r="A173" s="33">
        <v>45719</v>
      </c>
      <c r="B173" s="30" t="s">
        <v>19</v>
      </c>
      <c r="C173" s="31" t="str">
        <f>VLOOKUP(B173,'Kode Data'!$B$3:$C$23,2,0)</f>
        <v>Bran Gandum</v>
      </c>
      <c r="D173" s="30" t="str">
        <f>VLOOKUP(LEFT(B173,2),'Kode Data'!$E$3:$G$6,3,0)</f>
        <v>Bahan Baku</v>
      </c>
      <c r="E173" s="31" t="s">
        <v>118</v>
      </c>
      <c r="F173" s="30">
        <v>450</v>
      </c>
      <c r="G173" s="30">
        <v>0</v>
      </c>
      <c r="H173" s="30">
        <v>1050</v>
      </c>
      <c r="I173" s="30">
        <v>1500</v>
      </c>
      <c r="J173" s="30" t="s">
        <v>87</v>
      </c>
      <c r="K173" s="32" t="s">
        <v>88</v>
      </c>
    </row>
    <row r="174" spans="1:11" ht="14.5" x14ac:dyDescent="0.35">
      <c r="A174" s="29">
        <v>45720</v>
      </c>
      <c r="B174" s="30" t="s">
        <v>26</v>
      </c>
      <c r="C174" s="31" t="str">
        <f>VLOOKUP(B174,'Kode Data'!$B$3:$C$23,2,0)</f>
        <v>Enzim Baking</v>
      </c>
      <c r="D174" s="30" t="str">
        <f>VLOOKUP(LEFT(B174,2),'Kode Data'!$E$3:$G$6,3,0)</f>
        <v>Bahan Tambahan</v>
      </c>
      <c r="E174" s="31" t="s">
        <v>115</v>
      </c>
      <c r="F174" s="30">
        <v>100</v>
      </c>
      <c r="G174" s="30">
        <v>0</v>
      </c>
      <c r="H174" s="30">
        <v>260</v>
      </c>
      <c r="I174" s="30">
        <v>360</v>
      </c>
      <c r="J174" s="30" t="s">
        <v>87</v>
      </c>
      <c r="K174" s="32" t="s">
        <v>96</v>
      </c>
    </row>
    <row r="175" spans="1:11" ht="14.5" x14ac:dyDescent="0.35">
      <c r="A175" s="29">
        <v>45720</v>
      </c>
      <c r="B175" s="30" t="s">
        <v>30</v>
      </c>
      <c r="C175" s="31" t="str">
        <f>VLOOKUP(B175,'Kode Data'!$B$3:$C$23,2,0)</f>
        <v>Vitamin Fortifikasi</v>
      </c>
      <c r="D175" s="30" t="str">
        <f>VLOOKUP(LEFT(B175,2),'Kode Data'!$E$3:$G$6,3,0)</f>
        <v>Bahan Tambahan</v>
      </c>
      <c r="E175" s="31" t="s">
        <v>119</v>
      </c>
      <c r="F175" s="30">
        <v>130</v>
      </c>
      <c r="G175" s="30">
        <v>0</v>
      </c>
      <c r="H175" s="30">
        <v>325</v>
      </c>
      <c r="I175" s="30">
        <v>455</v>
      </c>
      <c r="J175" s="30" t="s">
        <v>87</v>
      </c>
      <c r="K175" s="32" t="s">
        <v>96</v>
      </c>
    </row>
    <row r="176" spans="1:11" ht="14.5" x14ac:dyDescent="0.35">
      <c r="A176" s="29">
        <v>45720</v>
      </c>
      <c r="B176" s="30" t="s">
        <v>38</v>
      </c>
      <c r="C176" s="31" t="str">
        <f>VLOOKUP(B176,'Kode Data'!$B$3:$C$23,2,0)</f>
        <v>Improver Tepung</v>
      </c>
      <c r="D176" s="30" t="str">
        <f>VLOOKUP(LEFT(B176,2),'Kode Data'!$E$3:$G$6,3,0)</f>
        <v>Bahan Tambahan</v>
      </c>
      <c r="E176" s="31" t="s">
        <v>117</v>
      </c>
      <c r="F176" s="30">
        <v>150</v>
      </c>
      <c r="G176" s="30">
        <v>0</v>
      </c>
      <c r="H176" s="30">
        <v>340</v>
      </c>
      <c r="I176" s="30">
        <v>490</v>
      </c>
      <c r="J176" s="30" t="s">
        <v>87</v>
      </c>
      <c r="K176" s="32" t="s">
        <v>96</v>
      </c>
    </row>
    <row r="177" spans="1:11" ht="14.5" x14ac:dyDescent="0.35">
      <c r="A177" s="29">
        <v>45720</v>
      </c>
      <c r="B177" s="30" t="s">
        <v>42</v>
      </c>
      <c r="C177" s="31" t="str">
        <f>VLOOKUP(B177,'Kode Data'!$B$3:$C$23,2,0)</f>
        <v>Calcium Propionate</v>
      </c>
      <c r="D177" s="30" t="str">
        <f>VLOOKUP(LEFT(B177,2),'Kode Data'!$E$3:$G$6,3,0)</f>
        <v>Bahan Tambahan</v>
      </c>
      <c r="E177" s="31" t="s">
        <v>111</v>
      </c>
      <c r="F177" s="30">
        <v>55</v>
      </c>
      <c r="G177" s="30">
        <v>0</v>
      </c>
      <c r="H177" s="30">
        <v>295</v>
      </c>
      <c r="I177" s="30">
        <v>350</v>
      </c>
      <c r="J177" s="30" t="s">
        <v>87</v>
      </c>
      <c r="K177" s="32" t="s">
        <v>116</v>
      </c>
    </row>
    <row r="178" spans="1:11" ht="14.5" x14ac:dyDescent="0.35">
      <c r="A178" s="29">
        <v>45720</v>
      </c>
      <c r="B178" s="30" t="s">
        <v>60</v>
      </c>
      <c r="C178" s="31" t="str">
        <f>VLOOKUP(B178,'Kode Data'!$B$3:$C$23,2,0)</f>
        <v>Tepung Terigu Protein Tinggi</v>
      </c>
      <c r="D178" s="30" t="str">
        <f>VLOOKUP(LEFT(B178,2),'Kode Data'!$E$3:$G$6,3,0)</f>
        <v>Produk</v>
      </c>
      <c r="E178" s="31" t="s">
        <v>113</v>
      </c>
      <c r="F178" s="30">
        <v>700</v>
      </c>
      <c r="G178" s="30">
        <v>0</v>
      </c>
      <c r="H178" s="30">
        <v>800</v>
      </c>
      <c r="I178" s="30">
        <v>1500</v>
      </c>
      <c r="J178" s="30" t="s">
        <v>80</v>
      </c>
      <c r="K178" s="32" t="s">
        <v>81</v>
      </c>
    </row>
    <row r="179" spans="1:11" ht="14.5" x14ac:dyDescent="0.35">
      <c r="A179" s="33">
        <v>45720</v>
      </c>
      <c r="B179" s="30" t="s">
        <v>56</v>
      </c>
      <c r="C179" s="31" t="str">
        <f>VLOOKUP(B179,'Kode Data'!$B$3:$C$23,2,0)</f>
        <v>Label Produk</v>
      </c>
      <c r="D179" s="30" t="str">
        <f>VLOOKUP(LEFT(B179,2),'Kode Data'!$E$3:$G$6,3,0)</f>
        <v>Kemasan</v>
      </c>
      <c r="E179" s="31" t="s">
        <v>103</v>
      </c>
      <c r="F179" s="30">
        <v>500</v>
      </c>
      <c r="G179" s="30">
        <v>0</v>
      </c>
      <c r="H179" s="30">
        <v>1500</v>
      </c>
      <c r="I179" s="30">
        <v>2000</v>
      </c>
      <c r="J179" s="30" t="s">
        <v>80</v>
      </c>
      <c r="K179" s="32" t="s">
        <v>85</v>
      </c>
    </row>
    <row r="180" spans="1:11" ht="14.5" x14ac:dyDescent="0.35">
      <c r="A180" s="33">
        <v>45720</v>
      </c>
      <c r="B180" s="30" t="s">
        <v>9</v>
      </c>
      <c r="C180" s="31" t="str">
        <f>VLOOKUP(B180,'Kode Data'!$B$3:$C$23,2,0)</f>
        <v>Gandum Soft Wheat</v>
      </c>
      <c r="D180" s="30" t="str">
        <f>VLOOKUP(LEFT(B180,2),'Kode Data'!$E$3:$G$6,3,0)</f>
        <v>Bahan Baku</v>
      </c>
      <c r="E180" s="31" t="s">
        <v>89</v>
      </c>
      <c r="F180" s="30">
        <v>500</v>
      </c>
      <c r="G180" s="30">
        <v>0</v>
      </c>
      <c r="H180" s="30">
        <v>1500</v>
      </c>
      <c r="I180" s="30">
        <v>2000</v>
      </c>
      <c r="J180" s="30" t="s">
        <v>87</v>
      </c>
      <c r="K180" s="32" t="s">
        <v>88</v>
      </c>
    </row>
    <row r="181" spans="1:11" ht="14.5" x14ac:dyDescent="0.35">
      <c r="A181" s="29">
        <v>45722</v>
      </c>
      <c r="B181" s="30" t="s">
        <v>34</v>
      </c>
      <c r="C181" s="31" t="str">
        <f>VLOOKUP(B181,'Kode Data'!$B$3:$C$23,2,0)</f>
        <v>Tepung Premix</v>
      </c>
      <c r="D181" s="30" t="str">
        <f>VLOOKUP(LEFT(B181,2),'Kode Data'!$E$3:$G$6,3,0)</f>
        <v>Bahan Tambahan</v>
      </c>
      <c r="E181" s="31" t="s">
        <v>89</v>
      </c>
      <c r="F181" s="30">
        <v>200</v>
      </c>
      <c r="G181" s="30">
        <v>0</v>
      </c>
      <c r="H181" s="30">
        <v>650</v>
      </c>
      <c r="I181" s="30">
        <v>850</v>
      </c>
      <c r="J181" s="30" t="s">
        <v>87</v>
      </c>
      <c r="K181" s="32" t="s">
        <v>96</v>
      </c>
    </row>
    <row r="182" spans="1:11" ht="14.5" x14ac:dyDescent="0.35">
      <c r="A182" s="29">
        <v>45722</v>
      </c>
      <c r="B182" s="30" t="s">
        <v>62</v>
      </c>
      <c r="C182" s="31" t="str">
        <f>VLOOKUP(B182,'Kode Data'!$B$3:$C$23,2,0)</f>
        <v>Tepung Terigu Serbaguna</v>
      </c>
      <c r="D182" s="30" t="str">
        <f>VLOOKUP(LEFT(B182,2),'Kode Data'!$E$3:$G$6,3,0)</f>
        <v>Produk</v>
      </c>
      <c r="E182" s="31" t="s">
        <v>89</v>
      </c>
      <c r="F182" s="30">
        <v>500</v>
      </c>
      <c r="G182" s="30">
        <v>0</v>
      </c>
      <c r="H182" s="30">
        <v>750</v>
      </c>
      <c r="I182" s="30">
        <v>1250</v>
      </c>
      <c r="J182" s="30" t="s">
        <v>80</v>
      </c>
      <c r="K182" s="32" t="s">
        <v>81</v>
      </c>
    </row>
    <row r="183" spans="1:11" ht="14.5" x14ac:dyDescent="0.35">
      <c r="A183" s="33">
        <v>45722</v>
      </c>
      <c r="B183" s="30" t="s">
        <v>58</v>
      </c>
      <c r="C183" s="31" t="str">
        <f>VLOOKUP(B183,'Kode Data'!$B$3:$C$23,2,0)</f>
        <v>Pallet Kayu</v>
      </c>
      <c r="D183" s="30" t="str">
        <f>VLOOKUP(LEFT(B183,2),'Kode Data'!$E$3:$G$6,3,0)</f>
        <v>Kemasan</v>
      </c>
      <c r="E183" s="31" t="s">
        <v>122</v>
      </c>
      <c r="F183" s="30">
        <v>70</v>
      </c>
      <c r="G183" s="30">
        <v>0</v>
      </c>
      <c r="H183" s="30">
        <v>140</v>
      </c>
      <c r="I183" s="30">
        <v>210</v>
      </c>
      <c r="J183" s="30" t="s">
        <v>80</v>
      </c>
      <c r="K183" s="32" t="s">
        <v>85</v>
      </c>
    </row>
    <row r="184" spans="1:11" ht="14.5" x14ac:dyDescent="0.35">
      <c r="A184" s="33">
        <v>45723</v>
      </c>
      <c r="B184" s="30" t="s">
        <v>24</v>
      </c>
      <c r="C184" s="31" t="str">
        <f>VLOOKUP(B184,'Kode Data'!$B$3:$C$23,2,0)</f>
        <v>Germ Gandum</v>
      </c>
      <c r="D184" s="30" t="str">
        <f>VLOOKUP(LEFT(B184,2),'Kode Data'!$E$3:$G$6,3,0)</f>
        <v>Bahan Baku</v>
      </c>
      <c r="E184" s="31" t="s">
        <v>89</v>
      </c>
      <c r="F184" s="30">
        <v>0</v>
      </c>
      <c r="G184" s="30">
        <v>200</v>
      </c>
      <c r="H184" s="30">
        <v>1140</v>
      </c>
      <c r="I184" s="30">
        <v>940</v>
      </c>
      <c r="J184" s="30" t="s">
        <v>87</v>
      </c>
      <c r="K184" s="32" t="s">
        <v>104</v>
      </c>
    </row>
    <row r="185" spans="1:11" ht="14.5" x14ac:dyDescent="0.35">
      <c r="A185" s="33">
        <v>45724</v>
      </c>
      <c r="B185" s="30" t="s">
        <v>52</v>
      </c>
      <c r="C185" s="31" t="str">
        <f>VLOOKUP(B185,'Kode Data'!$B$3:$C$23,2,0)</f>
        <v>Plastik Kemasan 500 gr</v>
      </c>
      <c r="D185" s="30" t="str">
        <f>VLOOKUP(LEFT(B185,2),'Kode Data'!$E$3:$G$6,3,0)</f>
        <v>Kemasan</v>
      </c>
      <c r="E185" s="31" t="s">
        <v>86</v>
      </c>
      <c r="F185" s="30">
        <v>900</v>
      </c>
      <c r="G185" s="30">
        <v>0</v>
      </c>
      <c r="H185" s="30">
        <v>6050</v>
      </c>
      <c r="I185" s="30">
        <v>6950</v>
      </c>
      <c r="J185" s="30" t="s">
        <v>80</v>
      </c>
      <c r="K185" s="32" t="s">
        <v>85</v>
      </c>
    </row>
    <row r="186" spans="1:11" ht="14.5" x14ac:dyDescent="0.35">
      <c r="A186" s="33">
        <v>45724</v>
      </c>
      <c r="B186" s="30" t="s">
        <v>14</v>
      </c>
      <c r="C186" s="31" t="str">
        <f>VLOOKUP(B186,'Kode Data'!$B$3:$C$23,2,0)</f>
        <v>Gandum Durum</v>
      </c>
      <c r="D186" s="30" t="str">
        <f>VLOOKUP(LEFT(B186,2),'Kode Data'!$E$3:$G$6,3,0)</f>
        <v>Bahan Baku</v>
      </c>
      <c r="E186" s="31" t="s">
        <v>79</v>
      </c>
      <c r="F186" s="30">
        <v>0</v>
      </c>
      <c r="G186" s="30">
        <v>220</v>
      </c>
      <c r="H186" s="30">
        <v>1500</v>
      </c>
      <c r="I186" s="30">
        <v>1280</v>
      </c>
      <c r="J186" s="30" t="s">
        <v>87</v>
      </c>
      <c r="K186" s="32" t="s">
        <v>104</v>
      </c>
    </row>
    <row r="187" spans="1:11" ht="14.5" x14ac:dyDescent="0.35">
      <c r="A187" s="29">
        <v>45725</v>
      </c>
      <c r="B187" s="30" t="s">
        <v>60</v>
      </c>
      <c r="C187" s="31" t="str">
        <f>VLOOKUP(B187,'Kode Data'!$B$3:$C$23,2,0)</f>
        <v>Tepung Terigu Protein Tinggi</v>
      </c>
      <c r="D187" s="30" t="str">
        <f>VLOOKUP(LEFT(B187,2),'Kode Data'!$E$3:$G$6,3,0)</f>
        <v>Produk</v>
      </c>
      <c r="E187" s="31" t="s">
        <v>102</v>
      </c>
      <c r="F187" s="30">
        <v>0</v>
      </c>
      <c r="G187" s="30">
        <v>500</v>
      </c>
      <c r="H187" s="30">
        <v>1500</v>
      </c>
      <c r="I187" s="30">
        <v>1000</v>
      </c>
      <c r="J187" s="30" t="s">
        <v>80</v>
      </c>
      <c r="K187" s="32" t="s">
        <v>90</v>
      </c>
    </row>
    <row r="188" spans="1:11" ht="14.5" x14ac:dyDescent="0.35">
      <c r="A188" s="33">
        <v>45725</v>
      </c>
      <c r="B188" s="30" t="s">
        <v>54</v>
      </c>
      <c r="C188" s="31" t="str">
        <f>VLOOKUP(B188,'Kode Data'!$B$3:$C$23,2,0)</f>
        <v>Karton Box</v>
      </c>
      <c r="D188" s="30" t="str">
        <f>VLOOKUP(LEFT(B188,2),'Kode Data'!$E$3:$G$6,3,0)</f>
        <v>Kemasan</v>
      </c>
      <c r="E188" s="31" t="s">
        <v>97</v>
      </c>
      <c r="F188" s="30">
        <v>0</v>
      </c>
      <c r="G188" s="30">
        <v>600</v>
      </c>
      <c r="H188" s="30">
        <v>7700</v>
      </c>
      <c r="I188" s="30">
        <v>7100</v>
      </c>
      <c r="J188" s="30" t="s">
        <v>80</v>
      </c>
      <c r="K188" s="32" t="s">
        <v>93</v>
      </c>
    </row>
    <row r="189" spans="1:11" ht="14.5" x14ac:dyDescent="0.35">
      <c r="A189" s="29">
        <v>45726</v>
      </c>
      <c r="B189" s="30" t="s">
        <v>38</v>
      </c>
      <c r="C189" s="31" t="str">
        <f>VLOOKUP(B189,'Kode Data'!$B$3:$C$23,2,0)</f>
        <v>Improver Tepung</v>
      </c>
      <c r="D189" s="30" t="str">
        <f>VLOOKUP(LEFT(B189,2),'Kode Data'!$E$3:$G$6,3,0)</f>
        <v>Bahan Tambahan</v>
      </c>
      <c r="E189" s="31" t="s">
        <v>95</v>
      </c>
      <c r="F189" s="30">
        <v>0</v>
      </c>
      <c r="G189" s="30">
        <v>110</v>
      </c>
      <c r="H189" s="30">
        <v>490</v>
      </c>
      <c r="I189" s="30">
        <v>380</v>
      </c>
      <c r="J189" s="30" t="s">
        <v>87</v>
      </c>
      <c r="K189" s="32" t="s">
        <v>104</v>
      </c>
    </row>
    <row r="190" spans="1:11" ht="14.5" x14ac:dyDescent="0.35">
      <c r="A190" s="33">
        <v>45726</v>
      </c>
      <c r="B190" s="30" t="s">
        <v>4</v>
      </c>
      <c r="C190" s="31" t="str">
        <f>VLOOKUP(B190,'Kode Data'!$B$3:$C$23,2,0)</f>
        <v>Gandum Hard Wheat</v>
      </c>
      <c r="D190" s="30" t="str">
        <f>VLOOKUP(LEFT(B190,2),'Kode Data'!$E$3:$G$6,3,0)</f>
        <v>Bahan Baku</v>
      </c>
      <c r="E190" s="31" t="s">
        <v>98</v>
      </c>
      <c r="F190" s="30">
        <v>600</v>
      </c>
      <c r="G190" s="30">
        <v>0</v>
      </c>
      <c r="H190" s="30">
        <v>1650</v>
      </c>
      <c r="I190" s="30">
        <v>2250</v>
      </c>
      <c r="J190" s="30" t="s">
        <v>87</v>
      </c>
      <c r="K190" s="32" t="s">
        <v>88</v>
      </c>
    </row>
    <row r="191" spans="1:11" ht="14.5" x14ac:dyDescent="0.35">
      <c r="A191" s="29">
        <v>45727</v>
      </c>
      <c r="B191" s="30" t="s">
        <v>26</v>
      </c>
      <c r="C191" s="31" t="str">
        <f>VLOOKUP(B191,'Kode Data'!$B$3:$C$23,2,0)</f>
        <v>Enzim Baking</v>
      </c>
      <c r="D191" s="30" t="str">
        <f>VLOOKUP(LEFT(B191,2),'Kode Data'!$E$3:$G$6,3,0)</f>
        <v>Bahan Tambahan</v>
      </c>
      <c r="E191" s="31" t="s">
        <v>100</v>
      </c>
      <c r="F191" s="30">
        <v>0</v>
      </c>
      <c r="G191" s="30">
        <v>120</v>
      </c>
      <c r="H191" s="30">
        <v>360</v>
      </c>
      <c r="I191" s="30">
        <v>240</v>
      </c>
      <c r="J191" s="30" t="s">
        <v>87</v>
      </c>
      <c r="K191" s="32" t="s">
        <v>104</v>
      </c>
    </row>
    <row r="192" spans="1:11" ht="14.5" x14ac:dyDescent="0.35">
      <c r="A192" s="29">
        <v>45727</v>
      </c>
      <c r="B192" s="30" t="s">
        <v>42</v>
      </c>
      <c r="C192" s="31" t="str">
        <f>VLOOKUP(B192,'Kode Data'!$B$3:$C$23,2,0)</f>
        <v>Calcium Propionate</v>
      </c>
      <c r="D192" s="30" t="str">
        <f>VLOOKUP(LEFT(B192,2),'Kode Data'!$E$3:$G$6,3,0)</f>
        <v>Bahan Tambahan</v>
      </c>
      <c r="E192" s="31" t="s">
        <v>121</v>
      </c>
      <c r="F192" s="30">
        <v>0</v>
      </c>
      <c r="G192" s="30">
        <v>20</v>
      </c>
      <c r="H192" s="30">
        <v>350</v>
      </c>
      <c r="I192" s="30">
        <v>330</v>
      </c>
      <c r="J192" s="30" t="s">
        <v>87</v>
      </c>
      <c r="K192" s="32" t="s">
        <v>104</v>
      </c>
    </row>
    <row r="193" spans="1:11" ht="14.5" x14ac:dyDescent="0.35">
      <c r="A193" s="33">
        <v>45727</v>
      </c>
      <c r="B193" s="30" t="s">
        <v>19</v>
      </c>
      <c r="C193" s="31" t="str">
        <f>VLOOKUP(B193,'Kode Data'!$B$3:$C$23,2,0)</f>
        <v>Bran Gandum</v>
      </c>
      <c r="D193" s="30" t="str">
        <f>VLOOKUP(LEFT(B193,2),'Kode Data'!$E$3:$G$6,3,0)</f>
        <v>Bahan Baku</v>
      </c>
      <c r="E193" s="31" t="s">
        <v>79</v>
      </c>
      <c r="F193" s="30">
        <v>0</v>
      </c>
      <c r="G193" s="30">
        <v>300</v>
      </c>
      <c r="H193" s="30">
        <v>1500</v>
      </c>
      <c r="I193" s="30">
        <v>1200</v>
      </c>
      <c r="J193" s="30" t="s">
        <v>87</v>
      </c>
      <c r="K193" s="32" t="s">
        <v>104</v>
      </c>
    </row>
    <row r="194" spans="1:11" ht="14.5" x14ac:dyDescent="0.35">
      <c r="A194" s="29">
        <v>45728</v>
      </c>
      <c r="B194" s="30" t="s">
        <v>30</v>
      </c>
      <c r="C194" s="31" t="str">
        <f>VLOOKUP(B194,'Kode Data'!$B$3:$C$23,2,0)</f>
        <v>Vitamin Fortifikasi</v>
      </c>
      <c r="D194" s="30" t="str">
        <f>VLOOKUP(LEFT(B194,2),'Kode Data'!$E$3:$G$6,3,0)</f>
        <v>Bahan Tambahan</v>
      </c>
      <c r="E194" s="31" t="s">
        <v>101</v>
      </c>
      <c r="F194" s="30">
        <v>0</v>
      </c>
      <c r="G194" s="30">
        <v>90</v>
      </c>
      <c r="H194" s="30">
        <v>455</v>
      </c>
      <c r="I194" s="30">
        <v>365</v>
      </c>
      <c r="J194" s="30" t="s">
        <v>87</v>
      </c>
      <c r="K194" s="32" t="s">
        <v>104</v>
      </c>
    </row>
    <row r="195" spans="1:11" ht="14.5" x14ac:dyDescent="0.35">
      <c r="A195" s="29">
        <v>45728</v>
      </c>
      <c r="B195" s="30" t="s">
        <v>66</v>
      </c>
      <c r="C195" s="31" t="str">
        <f>VLOOKUP(B195,'Kode Data'!$B$3:$C$23,2,0)</f>
        <v>Tepung Terigu Khusus Roti</v>
      </c>
      <c r="D195" s="30" t="str">
        <f>VLOOKUP(LEFT(B195,2),'Kode Data'!$E$3:$G$6,3,0)</f>
        <v>Produk</v>
      </c>
      <c r="E195" s="31" t="s">
        <v>79</v>
      </c>
      <c r="F195" s="30">
        <v>0</v>
      </c>
      <c r="G195" s="30">
        <v>300</v>
      </c>
      <c r="H195" s="30">
        <v>1600</v>
      </c>
      <c r="I195" s="30">
        <v>1300</v>
      </c>
      <c r="J195" s="30" t="s">
        <v>80</v>
      </c>
      <c r="K195" s="32" t="s">
        <v>90</v>
      </c>
    </row>
    <row r="196" spans="1:11" ht="14.5" x14ac:dyDescent="0.35">
      <c r="A196" s="33">
        <v>45728</v>
      </c>
      <c r="B196" s="30" t="s">
        <v>56</v>
      </c>
      <c r="C196" s="31" t="str">
        <f>VLOOKUP(B196,'Kode Data'!$B$3:$C$23,2,0)</f>
        <v>Label Produk</v>
      </c>
      <c r="D196" s="30" t="str">
        <f>VLOOKUP(LEFT(B196,2),'Kode Data'!$E$3:$G$6,3,0)</f>
        <v>Kemasan</v>
      </c>
      <c r="E196" s="31" t="s">
        <v>103</v>
      </c>
      <c r="F196" s="30">
        <v>0</v>
      </c>
      <c r="G196" s="30">
        <v>450</v>
      </c>
      <c r="H196" s="30">
        <v>2000</v>
      </c>
      <c r="I196" s="30">
        <v>1550</v>
      </c>
      <c r="J196" s="30" t="s">
        <v>80</v>
      </c>
      <c r="K196" s="32" t="s">
        <v>93</v>
      </c>
    </row>
    <row r="197" spans="1:11" ht="14.5" x14ac:dyDescent="0.35">
      <c r="A197" s="33">
        <v>45728</v>
      </c>
      <c r="B197" s="30" t="s">
        <v>9</v>
      </c>
      <c r="C197" s="31" t="str">
        <f>VLOOKUP(B197,'Kode Data'!$B$3:$C$23,2,0)</f>
        <v>Gandum Soft Wheat</v>
      </c>
      <c r="D197" s="30" t="str">
        <f>VLOOKUP(LEFT(B197,2),'Kode Data'!$E$3:$G$6,3,0)</f>
        <v>Bahan Baku</v>
      </c>
      <c r="E197" s="31" t="s">
        <v>98</v>
      </c>
      <c r="F197" s="30">
        <v>0</v>
      </c>
      <c r="G197" s="30">
        <v>400</v>
      </c>
      <c r="H197" s="30">
        <v>2000</v>
      </c>
      <c r="I197" s="30">
        <v>1600</v>
      </c>
      <c r="J197" s="30" t="s">
        <v>87</v>
      </c>
      <c r="K197" s="32" t="s">
        <v>104</v>
      </c>
    </row>
    <row r="198" spans="1:11" ht="14.5" x14ac:dyDescent="0.35">
      <c r="A198" s="33">
        <v>45729</v>
      </c>
      <c r="B198" s="30" t="s">
        <v>58</v>
      </c>
      <c r="C198" s="31" t="str">
        <f>VLOOKUP(B198,'Kode Data'!$B$3:$C$23,2,0)</f>
        <v>Pallet Kayu</v>
      </c>
      <c r="D198" s="30" t="str">
        <f>VLOOKUP(LEFT(B198,2),'Kode Data'!$E$3:$G$6,3,0)</f>
        <v>Kemasan</v>
      </c>
      <c r="E198" s="31" t="s">
        <v>94</v>
      </c>
      <c r="F198" s="30">
        <v>0</v>
      </c>
      <c r="G198" s="30">
        <v>60</v>
      </c>
      <c r="H198" s="30">
        <v>210</v>
      </c>
      <c r="I198" s="30">
        <v>150</v>
      </c>
      <c r="J198" s="30" t="s">
        <v>80</v>
      </c>
      <c r="K198" s="32" t="s">
        <v>93</v>
      </c>
    </row>
    <row r="199" spans="1:11" ht="14.5" x14ac:dyDescent="0.35">
      <c r="A199" s="29">
        <v>45730</v>
      </c>
      <c r="B199" s="30" t="s">
        <v>62</v>
      </c>
      <c r="C199" s="31" t="str">
        <f>VLOOKUP(B199,'Kode Data'!$B$3:$C$23,2,0)</f>
        <v>Tepung Terigu Serbaguna</v>
      </c>
      <c r="D199" s="30" t="str">
        <f>VLOOKUP(LEFT(B199,2),'Kode Data'!$E$3:$G$6,3,0)</f>
        <v>Produk</v>
      </c>
      <c r="E199" s="31" t="s">
        <v>82</v>
      </c>
      <c r="F199" s="30">
        <v>0</v>
      </c>
      <c r="G199" s="30">
        <v>600</v>
      </c>
      <c r="H199" s="30">
        <v>1250</v>
      </c>
      <c r="I199" s="30">
        <v>650</v>
      </c>
      <c r="J199" s="30" t="s">
        <v>80</v>
      </c>
      <c r="K199" s="32" t="s">
        <v>90</v>
      </c>
    </row>
    <row r="200" spans="1:11" ht="14.5" x14ac:dyDescent="0.35">
      <c r="A200" s="33">
        <v>45730</v>
      </c>
      <c r="B200" s="30" t="s">
        <v>24</v>
      </c>
      <c r="C200" s="31" t="str">
        <f>VLOOKUP(B200,'Kode Data'!$B$3:$C$23,2,0)</f>
        <v>Germ Gandum</v>
      </c>
      <c r="D200" s="30" t="str">
        <f>VLOOKUP(LEFT(B200,2),'Kode Data'!$E$3:$G$6,3,0)</f>
        <v>Bahan Baku</v>
      </c>
      <c r="E200" s="31" t="s">
        <v>98</v>
      </c>
      <c r="F200" s="30">
        <v>300</v>
      </c>
      <c r="G200" s="30">
        <v>0</v>
      </c>
      <c r="H200" s="30">
        <v>940</v>
      </c>
      <c r="I200" s="30">
        <v>1240</v>
      </c>
      <c r="J200" s="30" t="s">
        <v>87</v>
      </c>
      <c r="K200" s="32" t="s">
        <v>110</v>
      </c>
    </row>
    <row r="201" spans="1:11" ht="14.5" x14ac:dyDescent="0.35">
      <c r="A201" s="29">
        <v>45731</v>
      </c>
      <c r="B201" s="30" t="s">
        <v>34</v>
      </c>
      <c r="C201" s="31" t="str">
        <f>VLOOKUP(B201,'Kode Data'!$B$3:$C$23,2,0)</f>
        <v>Tepung Premix</v>
      </c>
      <c r="D201" s="30" t="str">
        <f>VLOOKUP(LEFT(B201,2),'Kode Data'!$E$3:$G$6,3,0)</f>
        <v>Bahan Tambahan</v>
      </c>
      <c r="E201" s="31" t="s">
        <v>82</v>
      </c>
      <c r="F201" s="30">
        <v>0</v>
      </c>
      <c r="G201" s="30">
        <v>170</v>
      </c>
      <c r="H201" s="30">
        <v>850</v>
      </c>
      <c r="I201" s="30">
        <v>680</v>
      </c>
      <c r="J201" s="30" t="s">
        <v>87</v>
      </c>
      <c r="K201" s="32" t="s">
        <v>104</v>
      </c>
    </row>
    <row r="202" spans="1:11" ht="14.5" x14ac:dyDescent="0.35">
      <c r="A202" s="29">
        <v>45731</v>
      </c>
      <c r="B202" s="30" t="s">
        <v>60</v>
      </c>
      <c r="C202" s="31" t="str">
        <f>VLOOKUP(B202,'Kode Data'!$B$3:$C$23,2,0)</f>
        <v>Tepung Terigu Protein Tinggi</v>
      </c>
      <c r="D202" s="30" t="str">
        <f>VLOOKUP(LEFT(B202,2),'Kode Data'!$E$3:$G$6,3,0)</f>
        <v>Produk</v>
      </c>
      <c r="E202" s="31" t="s">
        <v>108</v>
      </c>
      <c r="F202" s="30">
        <v>600</v>
      </c>
      <c r="G202" s="30">
        <v>0</v>
      </c>
      <c r="H202" s="30">
        <v>1000</v>
      </c>
      <c r="I202" s="30">
        <v>1600</v>
      </c>
      <c r="J202" s="30" t="s">
        <v>80</v>
      </c>
      <c r="K202" s="32" t="s">
        <v>81</v>
      </c>
    </row>
    <row r="203" spans="1:11" ht="14.5" x14ac:dyDescent="0.35">
      <c r="A203" s="29">
        <v>45731</v>
      </c>
      <c r="B203" s="30" t="s">
        <v>66</v>
      </c>
      <c r="C203" s="31" t="str">
        <f>VLOOKUP(B203,'Kode Data'!$B$3:$C$23,2,0)</f>
        <v>Tepung Terigu Khusus Roti</v>
      </c>
      <c r="D203" s="30" t="str">
        <f>VLOOKUP(LEFT(B203,2),'Kode Data'!$E$3:$G$6,3,0)</f>
        <v>Produk</v>
      </c>
      <c r="E203" s="31" t="s">
        <v>82</v>
      </c>
      <c r="F203" s="30">
        <v>500</v>
      </c>
      <c r="G203" s="30">
        <v>0</v>
      </c>
      <c r="H203" s="30">
        <v>1300</v>
      </c>
      <c r="I203" s="30">
        <v>1800</v>
      </c>
      <c r="J203" s="30" t="s">
        <v>80</v>
      </c>
      <c r="K203" s="32" t="s">
        <v>81</v>
      </c>
    </row>
    <row r="204" spans="1:11" ht="14.5" x14ac:dyDescent="0.35">
      <c r="A204" s="33">
        <v>45732</v>
      </c>
      <c r="B204" s="30" t="s">
        <v>14</v>
      </c>
      <c r="C204" s="31" t="str">
        <f>VLOOKUP(B204,'Kode Data'!$B$3:$C$23,2,0)</f>
        <v>Gandum Durum</v>
      </c>
      <c r="D204" s="30" t="str">
        <f>VLOOKUP(LEFT(B204,2),'Kode Data'!$E$3:$G$6,3,0)</f>
        <v>Bahan Baku</v>
      </c>
      <c r="E204" s="31" t="s">
        <v>89</v>
      </c>
      <c r="F204" s="30">
        <v>300</v>
      </c>
      <c r="G204" s="30">
        <v>0</v>
      </c>
      <c r="H204" s="30">
        <v>1280</v>
      </c>
      <c r="I204" s="30">
        <v>1580</v>
      </c>
      <c r="J204" s="30" t="s">
        <v>87</v>
      </c>
      <c r="K204" s="32" t="s">
        <v>88</v>
      </c>
    </row>
    <row r="205" spans="1:11" ht="14.5" x14ac:dyDescent="0.35">
      <c r="A205" s="29">
        <v>45733</v>
      </c>
      <c r="B205" s="30" t="s">
        <v>68</v>
      </c>
      <c r="C205" s="31" t="str">
        <f>VLOOKUP(B205,'Kode Data'!$B$3:$C$23,2,0)</f>
        <v>Tepung Terigu Khusus Kue</v>
      </c>
      <c r="D205" s="30" t="str">
        <f>VLOOKUP(LEFT(B205,2),'Kode Data'!$E$3:$G$6,3,0)</f>
        <v>Produk</v>
      </c>
      <c r="E205" s="31" t="s">
        <v>91</v>
      </c>
      <c r="F205" s="30">
        <v>550</v>
      </c>
      <c r="G205" s="30">
        <v>0</v>
      </c>
      <c r="H205" s="30">
        <v>1850</v>
      </c>
      <c r="I205" s="30">
        <v>2400</v>
      </c>
      <c r="J205" s="30" t="s">
        <v>80</v>
      </c>
      <c r="K205" s="32" t="s">
        <v>81</v>
      </c>
    </row>
    <row r="206" spans="1:11" ht="14.5" x14ac:dyDescent="0.35">
      <c r="A206" s="29">
        <v>45733</v>
      </c>
      <c r="B206" s="30" t="s">
        <v>46</v>
      </c>
      <c r="C206" s="31" t="str">
        <f>VLOOKUP(B206,'Kode Data'!$B$3:$C$23,2,0)</f>
        <v>Karung Kemasan 25 Kg</v>
      </c>
      <c r="D206" s="30" t="str">
        <f>VLOOKUP(LEFT(B206,2),'Kode Data'!$E$3:$G$6,3,0)</f>
        <v>Kemasan</v>
      </c>
      <c r="E206" s="31" t="s">
        <v>84</v>
      </c>
      <c r="F206" s="30">
        <v>300</v>
      </c>
      <c r="G206" s="30">
        <v>0</v>
      </c>
      <c r="H206" s="30">
        <v>1750</v>
      </c>
      <c r="I206" s="30">
        <v>2050</v>
      </c>
      <c r="J206" s="30" t="s">
        <v>80</v>
      </c>
      <c r="K206" s="32" t="s">
        <v>85</v>
      </c>
    </row>
    <row r="207" spans="1:11" ht="14.5" x14ac:dyDescent="0.35">
      <c r="A207" s="33">
        <v>45733</v>
      </c>
      <c r="B207" s="30" t="s">
        <v>54</v>
      </c>
      <c r="C207" s="31" t="str">
        <f>VLOOKUP(B207,'Kode Data'!$B$3:$C$23,2,0)</f>
        <v>Karton Box</v>
      </c>
      <c r="D207" s="30" t="str">
        <f>VLOOKUP(LEFT(B207,2),'Kode Data'!$E$3:$G$6,3,0)</f>
        <v>Kemasan</v>
      </c>
      <c r="E207" s="31" t="s">
        <v>109</v>
      </c>
      <c r="F207" s="30">
        <v>700</v>
      </c>
      <c r="G207" s="30">
        <v>0</v>
      </c>
      <c r="H207" s="30">
        <v>7100</v>
      </c>
      <c r="I207" s="30">
        <v>7800</v>
      </c>
      <c r="J207" s="30" t="s">
        <v>80</v>
      </c>
      <c r="K207" s="32" t="s">
        <v>85</v>
      </c>
    </row>
    <row r="208" spans="1:11" ht="14.5" x14ac:dyDescent="0.35">
      <c r="A208" s="33">
        <v>45733</v>
      </c>
      <c r="B208" s="30" t="s">
        <v>9</v>
      </c>
      <c r="C208" s="31" t="str">
        <f>VLOOKUP(B208,'Kode Data'!$B$3:$C$23,2,0)</f>
        <v>Gandum Soft Wheat</v>
      </c>
      <c r="D208" s="30" t="str">
        <f>VLOOKUP(LEFT(B208,2),'Kode Data'!$E$3:$G$6,3,0)</f>
        <v>Bahan Baku</v>
      </c>
      <c r="E208" s="31" t="s">
        <v>79</v>
      </c>
      <c r="F208" s="30">
        <v>350</v>
      </c>
      <c r="G208" s="30">
        <v>0</v>
      </c>
      <c r="H208" s="30">
        <v>1600</v>
      </c>
      <c r="I208" s="30">
        <v>1950</v>
      </c>
      <c r="J208" s="30" t="s">
        <v>87</v>
      </c>
      <c r="K208" s="32" t="s">
        <v>110</v>
      </c>
    </row>
    <row r="209" spans="1:11" ht="14.5" x14ac:dyDescent="0.35">
      <c r="A209" s="29">
        <v>45734</v>
      </c>
      <c r="B209" s="30" t="s">
        <v>30</v>
      </c>
      <c r="C209" s="31" t="str">
        <f>VLOOKUP(B209,'Kode Data'!$B$3:$C$23,2,0)</f>
        <v>Vitamin Fortifikasi</v>
      </c>
      <c r="D209" s="30" t="str">
        <f>VLOOKUP(LEFT(B209,2),'Kode Data'!$E$3:$G$6,3,0)</f>
        <v>Bahan Tambahan</v>
      </c>
      <c r="E209" s="31" t="s">
        <v>112</v>
      </c>
      <c r="F209" s="30">
        <v>120</v>
      </c>
      <c r="G209" s="30">
        <v>0</v>
      </c>
      <c r="H209" s="30">
        <v>365</v>
      </c>
      <c r="I209" s="30">
        <v>485</v>
      </c>
      <c r="J209" s="30" t="s">
        <v>87</v>
      </c>
      <c r="K209" s="32" t="s">
        <v>116</v>
      </c>
    </row>
    <row r="210" spans="1:11" ht="14.5" x14ac:dyDescent="0.35">
      <c r="A210" s="29">
        <v>45734</v>
      </c>
      <c r="B210" s="30" t="s">
        <v>38</v>
      </c>
      <c r="C210" s="31" t="str">
        <f>VLOOKUP(B210,'Kode Data'!$B$3:$C$23,2,0)</f>
        <v>Improver Tepung</v>
      </c>
      <c r="D210" s="30" t="str">
        <f>VLOOKUP(LEFT(B210,2),'Kode Data'!$E$3:$G$6,3,0)</f>
        <v>Bahan Tambahan</v>
      </c>
      <c r="E210" s="31" t="s">
        <v>107</v>
      </c>
      <c r="F210" s="30">
        <v>130</v>
      </c>
      <c r="G210" s="30">
        <v>0</v>
      </c>
      <c r="H210" s="30">
        <v>380</v>
      </c>
      <c r="I210" s="30">
        <v>510</v>
      </c>
      <c r="J210" s="30" t="s">
        <v>87</v>
      </c>
      <c r="K210" s="32" t="s">
        <v>116</v>
      </c>
    </row>
    <row r="211" spans="1:11" ht="14.5" x14ac:dyDescent="0.35">
      <c r="A211" s="29">
        <v>45734</v>
      </c>
      <c r="B211" s="30" t="s">
        <v>68</v>
      </c>
      <c r="C211" s="31" t="str">
        <f>VLOOKUP(B211,'Kode Data'!$B$3:$C$23,2,0)</f>
        <v>Tepung Terigu Khusus Kue</v>
      </c>
      <c r="D211" s="30" t="str">
        <f>VLOOKUP(LEFT(B211,2),'Kode Data'!$E$3:$G$6,3,0)</f>
        <v>Produk</v>
      </c>
      <c r="E211" s="31" t="s">
        <v>89</v>
      </c>
      <c r="F211" s="30">
        <v>0</v>
      </c>
      <c r="G211" s="30">
        <v>500</v>
      </c>
      <c r="H211" s="30">
        <v>2400</v>
      </c>
      <c r="I211" s="30">
        <v>1900</v>
      </c>
      <c r="J211" s="30" t="s">
        <v>80</v>
      </c>
      <c r="K211" s="32" t="s">
        <v>90</v>
      </c>
    </row>
    <row r="212" spans="1:11" ht="14.5" x14ac:dyDescent="0.35">
      <c r="A212" s="29">
        <v>45735</v>
      </c>
      <c r="B212" s="30" t="s">
        <v>26</v>
      </c>
      <c r="C212" s="31" t="str">
        <f>VLOOKUP(B212,'Kode Data'!$B$3:$C$23,2,0)</f>
        <v>Enzim Baking</v>
      </c>
      <c r="D212" s="30" t="str">
        <f>VLOOKUP(LEFT(B212,2),'Kode Data'!$E$3:$G$6,3,0)</f>
        <v>Bahan Tambahan</v>
      </c>
      <c r="E212" s="31" t="s">
        <v>106</v>
      </c>
      <c r="F212" s="30">
        <v>90</v>
      </c>
      <c r="G212" s="30">
        <v>0</v>
      </c>
      <c r="H212" s="30">
        <v>240</v>
      </c>
      <c r="I212" s="30">
        <v>330</v>
      </c>
      <c r="J212" s="30" t="s">
        <v>87</v>
      </c>
      <c r="K212" s="32" t="s">
        <v>116</v>
      </c>
    </row>
    <row r="213" spans="1:11" ht="14.5" x14ac:dyDescent="0.35">
      <c r="A213" s="29">
        <v>45735</v>
      </c>
      <c r="B213" s="30" t="s">
        <v>42</v>
      </c>
      <c r="C213" s="31" t="str">
        <f>VLOOKUP(B213,'Kode Data'!$B$3:$C$23,2,0)</f>
        <v>Calcium Propionate</v>
      </c>
      <c r="D213" s="30" t="str">
        <f>VLOOKUP(LEFT(B213,2),'Kode Data'!$E$3:$G$6,3,0)</f>
        <v>Bahan Tambahan</v>
      </c>
      <c r="E213" s="31" t="s">
        <v>95</v>
      </c>
      <c r="F213" s="30">
        <v>45</v>
      </c>
      <c r="G213" s="30">
        <v>0</v>
      </c>
      <c r="H213" s="30">
        <v>330</v>
      </c>
      <c r="I213" s="30">
        <v>375</v>
      </c>
      <c r="J213" s="30" t="s">
        <v>87</v>
      </c>
      <c r="K213" s="32" t="s">
        <v>116</v>
      </c>
    </row>
    <row r="214" spans="1:11" ht="14.5" x14ac:dyDescent="0.35">
      <c r="A214" s="29">
        <v>45735</v>
      </c>
      <c r="B214" s="30" t="s">
        <v>50</v>
      </c>
      <c r="C214" s="31" t="str">
        <f>VLOOKUP(B214,'Kode Data'!$B$3:$C$23,2,0)</f>
        <v>Plastik Kemasan 1 Kg</v>
      </c>
      <c r="D214" s="30" t="str">
        <f>VLOOKUP(LEFT(B214,2),'Kode Data'!$E$3:$G$6,3,0)</f>
        <v>Kemasan</v>
      </c>
      <c r="E214" s="31" t="s">
        <v>86</v>
      </c>
      <c r="F214" s="30">
        <v>0</v>
      </c>
      <c r="G214" s="30">
        <v>500</v>
      </c>
      <c r="H214" s="30">
        <v>8150</v>
      </c>
      <c r="I214" s="30">
        <v>7650</v>
      </c>
      <c r="J214" s="30" t="s">
        <v>80</v>
      </c>
      <c r="K214" s="32" t="s">
        <v>93</v>
      </c>
    </row>
    <row r="215" spans="1:11" ht="14.5" x14ac:dyDescent="0.35">
      <c r="A215" s="33">
        <v>45735</v>
      </c>
      <c r="B215" s="30" t="s">
        <v>4</v>
      </c>
      <c r="C215" s="31" t="str">
        <f>VLOOKUP(B215,'Kode Data'!$B$3:$C$23,2,0)</f>
        <v>Gandum Hard Wheat</v>
      </c>
      <c r="D215" s="30" t="str">
        <f>VLOOKUP(LEFT(B215,2),'Kode Data'!$E$3:$G$6,3,0)</f>
        <v>Bahan Baku</v>
      </c>
      <c r="E215" s="31" t="s">
        <v>89</v>
      </c>
      <c r="F215" s="30">
        <v>0</v>
      </c>
      <c r="G215" s="30">
        <v>400</v>
      </c>
      <c r="H215" s="30">
        <v>2250</v>
      </c>
      <c r="I215" s="30">
        <v>1850</v>
      </c>
      <c r="J215" s="30" t="s">
        <v>87</v>
      </c>
      <c r="K215" s="32" t="s">
        <v>104</v>
      </c>
    </row>
    <row r="216" spans="1:11" ht="14.5" x14ac:dyDescent="0.35">
      <c r="A216" s="33">
        <v>45735</v>
      </c>
      <c r="B216" s="30" t="s">
        <v>19</v>
      </c>
      <c r="C216" s="31" t="str">
        <f>VLOOKUP(B216,'Kode Data'!$B$3:$C$23,2,0)</f>
        <v>Bran Gandum</v>
      </c>
      <c r="D216" s="30" t="str">
        <f>VLOOKUP(LEFT(B216,2),'Kode Data'!$E$3:$G$6,3,0)</f>
        <v>Bahan Baku</v>
      </c>
      <c r="E216" s="31" t="s">
        <v>98</v>
      </c>
      <c r="F216" s="30">
        <v>350</v>
      </c>
      <c r="G216" s="30">
        <v>0</v>
      </c>
      <c r="H216" s="30">
        <v>1200</v>
      </c>
      <c r="I216" s="30">
        <v>1550</v>
      </c>
      <c r="J216" s="30" t="s">
        <v>87</v>
      </c>
      <c r="K216" s="32" t="s">
        <v>110</v>
      </c>
    </row>
    <row r="217" spans="1:11" ht="14.5" x14ac:dyDescent="0.35">
      <c r="A217" s="29">
        <v>45736</v>
      </c>
      <c r="B217" s="30" t="s">
        <v>68</v>
      </c>
      <c r="C217" s="31" t="str">
        <f>VLOOKUP(B217,'Kode Data'!$B$3:$C$23,2,0)</f>
        <v>Tepung Terigu Khusus Kue</v>
      </c>
      <c r="D217" s="30" t="str">
        <f>VLOOKUP(LEFT(B217,2),'Kode Data'!$E$3:$G$6,3,0)</f>
        <v>Produk</v>
      </c>
      <c r="E217" s="31" t="s">
        <v>83</v>
      </c>
      <c r="F217" s="30">
        <v>600</v>
      </c>
      <c r="G217" s="30">
        <v>0</v>
      </c>
      <c r="H217" s="30">
        <v>1900</v>
      </c>
      <c r="I217" s="30">
        <v>2500</v>
      </c>
      <c r="J217" s="30" t="s">
        <v>80</v>
      </c>
      <c r="K217" s="32" t="s">
        <v>81</v>
      </c>
    </row>
    <row r="218" spans="1:11" ht="14.5" x14ac:dyDescent="0.35">
      <c r="A218" s="29">
        <v>45736</v>
      </c>
      <c r="B218" s="30" t="s">
        <v>46</v>
      </c>
      <c r="C218" s="31" t="str">
        <f>VLOOKUP(B218,'Kode Data'!$B$3:$C$23,2,0)</f>
        <v>Karung Kemasan 25 Kg</v>
      </c>
      <c r="D218" s="30" t="str">
        <f>VLOOKUP(LEFT(B218,2),'Kode Data'!$E$3:$G$6,3,0)</f>
        <v>Kemasan</v>
      </c>
      <c r="E218" s="31" t="s">
        <v>86</v>
      </c>
      <c r="F218" s="30">
        <v>0</v>
      </c>
      <c r="G218" s="30">
        <v>180</v>
      </c>
      <c r="H218" s="30">
        <v>2050</v>
      </c>
      <c r="I218" s="30">
        <v>1870</v>
      </c>
      <c r="J218" s="30" t="s">
        <v>80</v>
      </c>
      <c r="K218" s="32" t="s">
        <v>93</v>
      </c>
    </row>
    <row r="219" spans="1:11" ht="14.5" x14ac:dyDescent="0.35">
      <c r="A219" s="29">
        <v>45736</v>
      </c>
      <c r="B219" s="30" t="s">
        <v>50</v>
      </c>
      <c r="C219" s="31" t="str">
        <f>VLOOKUP(B219,'Kode Data'!$B$3:$C$23,2,0)</f>
        <v>Plastik Kemasan 1 Kg</v>
      </c>
      <c r="D219" s="30" t="str">
        <f>VLOOKUP(LEFT(B219,2),'Kode Data'!$E$3:$G$6,3,0)</f>
        <v>Kemasan</v>
      </c>
      <c r="E219" s="31" t="s">
        <v>92</v>
      </c>
      <c r="F219" s="30">
        <v>800</v>
      </c>
      <c r="G219" s="30">
        <v>0</v>
      </c>
      <c r="H219" s="30">
        <v>7650</v>
      </c>
      <c r="I219" s="30">
        <v>8450</v>
      </c>
      <c r="J219" s="30" t="s">
        <v>80</v>
      </c>
      <c r="K219" s="32" t="s">
        <v>85</v>
      </c>
    </row>
    <row r="220" spans="1:11" ht="14.5" x14ac:dyDescent="0.35">
      <c r="A220" s="33">
        <v>45736</v>
      </c>
      <c r="B220" s="30" t="s">
        <v>56</v>
      </c>
      <c r="C220" s="31" t="str">
        <f>VLOOKUP(B220,'Kode Data'!$B$3:$C$23,2,0)</f>
        <v>Label Produk</v>
      </c>
      <c r="D220" s="30" t="str">
        <f>VLOOKUP(LEFT(B220,2),'Kode Data'!$E$3:$G$6,3,0)</f>
        <v>Kemasan</v>
      </c>
      <c r="E220" s="31" t="s">
        <v>120</v>
      </c>
      <c r="F220" s="30">
        <v>400</v>
      </c>
      <c r="G220" s="30">
        <v>0</v>
      </c>
      <c r="H220" s="30">
        <v>1550</v>
      </c>
      <c r="I220" s="30">
        <v>1950</v>
      </c>
      <c r="J220" s="30" t="s">
        <v>80</v>
      </c>
      <c r="K220" s="32" t="s">
        <v>85</v>
      </c>
    </row>
    <row r="221" spans="1:11" ht="14.5" x14ac:dyDescent="0.35">
      <c r="A221" s="29">
        <v>45738</v>
      </c>
      <c r="B221" s="30" t="s">
        <v>34</v>
      </c>
      <c r="C221" s="31" t="str">
        <f>VLOOKUP(B221,'Kode Data'!$B$3:$C$23,2,0)</f>
        <v>Tepung Premix</v>
      </c>
      <c r="D221" s="30" t="str">
        <f>VLOOKUP(LEFT(B221,2),'Kode Data'!$E$3:$G$6,3,0)</f>
        <v>Bahan Tambahan</v>
      </c>
      <c r="E221" s="31" t="s">
        <v>79</v>
      </c>
      <c r="F221" s="30">
        <v>160</v>
      </c>
      <c r="G221" s="30">
        <v>0</v>
      </c>
      <c r="H221" s="30">
        <v>680</v>
      </c>
      <c r="I221" s="30">
        <v>840</v>
      </c>
      <c r="J221" s="30" t="s">
        <v>87</v>
      </c>
      <c r="K221" s="32" t="s">
        <v>96</v>
      </c>
    </row>
    <row r="222" spans="1:11" ht="14.5" x14ac:dyDescent="0.35">
      <c r="A222" s="29">
        <v>45738</v>
      </c>
      <c r="B222" s="30" t="s">
        <v>62</v>
      </c>
      <c r="C222" s="31" t="str">
        <f>VLOOKUP(B222,'Kode Data'!$B$3:$C$23,2,0)</f>
        <v>Tepung Terigu Serbaguna</v>
      </c>
      <c r="D222" s="30" t="str">
        <f>VLOOKUP(LEFT(B222,2),'Kode Data'!$E$3:$G$6,3,0)</f>
        <v>Produk</v>
      </c>
      <c r="E222" s="31" t="s">
        <v>79</v>
      </c>
      <c r="F222" s="30">
        <v>700</v>
      </c>
      <c r="G222" s="30">
        <v>0</v>
      </c>
      <c r="H222" s="30">
        <v>650</v>
      </c>
      <c r="I222" s="30">
        <v>1350</v>
      </c>
      <c r="J222" s="30" t="s">
        <v>80</v>
      </c>
      <c r="K222" s="32" t="s">
        <v>81</v>
      </c>
    </row>
    <row r="223" spans="1:11" ht="14.5" x14ac:dyDescent="0.35">
      <c r="A223" s="29">
        <v>45738</v>
      </c>
      <c r="B223" s="30" t="s">
        <v>64</v>
      </c>
      <c r="C223" s="31" t="str">
        <f>VLOOKUP(B223,'Kode Data'!$B$3:$C$23,2,0)</f>
        <v>Tepung Terigu Protein Rendah</v>
      </c>
      <c r="D223" s="30" t="str">
        <f>VLOOKUP(LEFT(B223,2),'Kode Data'!$E$3:$G$6,3,0)</f>
        <v>Produk</v>
      </c>
      <c r="E223" s="31" t="s">
        <v>82</v>
      </c>
      <c r="F223" s="30">
        <v>500</v>
      </c>
      <c r="G223" s="30">
        <v>0</v>
      </c>
      <c r="H223" s="30">
        <v>1700</v>
      </c>
      <c r="I223" s="30">
        <v>2200</v>
      </c>
      <c r="J223" s="30" t="s">
        <v>80</v>
      </c>
      <c r="K223" s="32" t="s">
        <v>81</v>
      </c>
    </row>
    <row r="224" spans="1:11" ht="14.5" x14ac:dyDescent="0.35">
      <c r="A224" s="29">
        <v>45738</v>
      </c>
      <c r="B224" s="30" t="s">
        <v>46</v>
      </c>
      <c r="C224" s="31" t="str">
        <f>VLOOKUP(B224,'Kode Data'!$B$3:$C$23,2,0)</f>
        <v>Karung Kemasan 25 Kg</v>
      </c>
      <c r="D224" s="30" t="str">
        <f>VLOOKUP(LEFT(B224,2),'Kode Data'!$E$3:$G$6,3,0)</f>
        <v>Kemasan</v>
      </c>
      <c r="E224" s="31" t="s">
        <v>97</v>
      </c>
      <c r="F224" s="30">
        <v>400</v>
      </c>
      <c r="G224" s="30">
        <v>0</v>
      </c>
      <c r="H224" s="30">
        <v>1870</v>
      </c>
      <c r="I224" s="30">
        <v>2270</v>
      </c>
      <c r="J224" s="30" t="s">
        <v>80</v>
      </c>
      <c r="K224" s="32" t="s">
        <v>85</v>
      </c>
    </row>
    <row r="225" spans="1:11" ht="14.5" x14ac:dyDescent="0.35">
      <c r="A225" s="33">
        <v>45738</v>
      </c>
      <c r="B225" s="30" t="s">
        <v>58</v>
      </c>
      <c r="C225" s="31" t="str">
        <f>VLOOKUP(B225,'Kode Data'!$B$3:$C$23,2,0)</f>
        <v>Pallet Kayu</v>
      </c>
      <c r="D225" s="30" t="str">
        <f>VLOOKUP(LEFT(B225,2),'Kode Data'!$E$3:$G$6,3,0)</f>
        <v>Kemasan</v>
      </c>
      <c r="E225" s="31" t="s">
        <v>105</v>
      </c>
      <c r="F225" s="30">
        <v>50</v>
      </c>
      <c r="G225" s="30">
        <v>0</v>
      </c>
      <c r="H225" s="30">
        <v>150</v>
      </c>
      <c r="I225" s="30">
        <v>200</v>
      </c>
      <c r="J225" s="30" t="s">
        <v>80</v>
      </c>
      <c r="K225" s="32" t="s">
        <v>85</v>
      </c>
    </row>
    <row r="226" spans="1:11" ht="14.5" x14ac:dyDescent="0.35">
      <c r="A226" s="29">
        <v>45739</v>
      </c>
      <c r="B226" s="30" t="s">
        <v>60</v>
      </c>
      <c r="C226" s="31" t="str">
        <f>VLOOKUP(B226,'Kode Data'!$B$3:$C$23,2,0)</f>
        <v>Tepung Terigu Protein Tinggi</v>
      </c>
      <c r="D226" s="30" t="str">
        <f>VLOOKUP(LEFT(B226,2),'Kode Data'!$E$3:$G$6,3,0)</f>
        <v>Produk</v>
      </c>
      <c r="E226" s="31" t="s">
        <v>113</v>
      </c>
      <c r="F226" s="30">
        <v>0</v>
      </c>
      <c r="G226" s="30">
        <v>700</v>
      </c>
      <c r="H226" s="30">
        <v>1600</v>
      </c>
      <c r="I226" s="30">
        <v>900</v>
      </c>
      <c r="J226" s="30" t="s">
        <v>80</v>
      </c>
      <c r="K226" s="32" t="s">
        <v>90</v>
      </c>
    </row>
    <row r="227" spans="1:11" ht="14.5" x14ac:dyDescent="0.35">
      <c r="A227" s="29">
        <v>45739</v>
      </c>
      <c r="B227" s="30" t="s">
        <v>64</v>
      </c>
      <c r="C227" s="31" t="str">
        <f>VLOOKUP(B227,'Kode Data'!$B$3:$C$23,2,0)</f>
        <v>Tepung Terigu Protein Rendah</v>
      </c>
      <c r="D227" s="30" t="str">
        <f>VLOOKUP(LEFT(B227,2),'Kode Data'!$E$3:$G$6,3,0)</f>
        <v>Produk</v>
      </c>
      <c r="E227" s="31" t="s">
        <v>79</v>
      </c>
      <c r="F227" s="30">
        <v>0</v>
      </c>
      <c r="G227" s="30">
        <v>400</v>
      </c>
      <c r="H227" s="30">
        <v>2200</v>
      </c>
      <c r="I227" s="30">
        <v>1800</v>
      </c>
      <c r="J227" s="30" t="s">
        <v>80</v>
      </c>
      <c r="K227" s="32" t="s">
        <v>90</v>
      </c>
    </row>
    <row r="228" spans="1:11" ht="14.5" x14ac:dyDescent="0.35">
      <c r="A228" s="29">
        <v>45739</v>
      </c>
      <c r="B228" s="30" t="s">
        <v>50</v>
      </c>
      <c r="C228" s="31" t="str">
        <f>VLOOKUP(B228,'Kode Data'!$B$3:$C$23,2,0)</f>
        <v>Plastik Kemasan 1 Kg</v>
      </c>
      <c r="D228" s="30" t="str">
        <f>VLOOKUP(LEFT(B228,2),'Kode Data'!$E$3:$G$6,3,0)</f>
        <v>Kemasan</v>
      </c>
      <c r="E228" s="31" t="s">
        <v>99</v>
      </c>
      <c r="F228" s="30">
        <v>0</v>
      </c>
      <c r="G228" s="30">
        <v>450</v>
      </c>
      <c r="H228" s="30">
        <v>8450</v>
      </c>
      <c r="I228" s="30">
        <v>8000</v>
      </c>
      <c r="J228" s="30" t="s">
        <v>80</v>
      </c>
      <c r="K228" s="32" t="s">
        <v>93</v>
      </c>
    </row>
    <row r="229" spans="1:11" ht="14.5" x14ac:dyDescent="0.35">
      <c r="A229" s="29">
        <v>45740</v>
      </c>
      <c r="B229" s="30" t="s">
        <v>64</v>
      </c>
      <c r="C229" s="31" t="str">
        <f>VLOOKUP(B229,'Kode Data'!$B$3:$C$23,2,0)</f>
        <v>Tepung Terigu Protein Rendah</v>
      </c>
      <c r="D229" s="30" t="str">
        <f>VLOOKUP(LEFT(B229,2),'Kode Data'!$E$3:$G$6,3,0)</f>
        <v>Produk</v>
      </c>
      <c r="E229" s="31" t="s">
        <v>89</v>
      </c>
      <c r="F229" s="30">
        <v>550</v>
      </c>
      <c r="G229" s="30">
        <v>0</v>
      </c>
      <c r="H229" s="30">
        <v>1800</v>
      </c>
      <c r="I229" s="30">
        <v>2350</v>
      </c>
      <c r="J229" s="30" t="s">
        <v>80</v>
      </c>
      <c r="K229" s="32" t="s">
        <v>81</v>
      </c>
    </row>
    <row r="230" spans="1:11" ht="14.5" x14ac:dyDescent="0.35">
      <c r="A230" s="29">
        <v>45741</v>
      </c>
      <c r="B230" s="30" t="s">
        <v>46</v>
      </c>
      <c r="C230" s="31" t="str">
        <f>VLOOKUP(B230,'Kode Data'!$B$3:$C$23,2,0)</f>
        <v>Karung Kemasan 25 Kg</v>
      </c>
      <c r="D230" s="30" t="str">
        <f>VLOOKUP(LEFT(B230,2),'Kode Data'!$E$3:$G$6,3,0)</f>
        <v>Kemasan</v>
      </c>
      <c r="E230" s="31" t="s">
        <v>84</v>
      </c>
      <c r="F230" s="30">
        <v>0</v>
      </c>
      <c r="G230" s="30">
        <v>220</v>
      </c>
      <c r="H230" s="30">
        <v>2270</v>
      </c>
      <c r="I230" s="30">
        <v>2050</v>
      </c>
      <c r="J230" s="30" t="s">
        <v>80</v>
      </c>
      <c r="K230" s="32" t="s">
        <v>93</v>
      </c>
    </row>
    <row r="231" spans="1:11" ht="14.5" x14ac:dyDescent="0.35">
      <c r="A231" s="29">
        <v>45741</v>
      </c>
      <c r="B231" s="30" t="s">
        <v>50</v>
      </c>
      <c r="C231" s="31" t="str">
        <f>VLOOKUP(B231,'Kode Data'!$B$3:$C$23,2,0)</f>
        <v>Plastik Kemasan 1 Kg</v>
      </c>
      <c r="D231" s="30" t="str">
        <f>VLOOKUP(LEFT(B231,2),'Kode Data'!$E$3:$G$6,3,0)</f>
        <v>Kemasan</v>
      </c>
      <c r="E231" s="31" t="s">
        <v>86</v>
      </c>
      <c r="F231" s="30">
        <v>900</v>
      </c>
      <c r="G231" s="30">
        <v>0</v>
      </c>
      <c r="H231" s="30">
        <v>8000</v>
      </c>
      <c r="I231" s="30">
        <v>8900</v>
      </c>
      <c r="J231" s="30" t="s">
        <v>80</v>
      </c>
      <c r="K231" s="32" t="s">
        <v>85</v>
      </c>
    </row>
    <row r="232" spans="1:11" ht="14.5" x14ac:dyDescent="0.35">
      <c r="A232" s="33">
        <v>45741</v>
      </c>
      <c r="B232" s="30" t="s">
        <v>56</v>
      </c>
      <c r="C232" s="31" t="str">
        <f>VLOOKUP(B232,'Kode Data'!$B$3:$C$23,2,0)</f>
        <v>Label Produk</v>
      </c>
      <c r="D232" s="30" t="str">
        <f>VLOOKUP(LEFT(B232,2),'Kode Data'!$E$3:$G$6,3,0)</f>
        <v>Kemasan</v>
      </c>
      <c r="E232" s="31" t="s">
        <v>120</v>
      </c>
      <c r="F232" s="30">
        <v>0</v>
      </c>
      <c r="G232" s="30">
        <v>300</v>
      </c>
      <c r="H232" s="30">
        <v>1950</v>
      </c>
      <c r="I232" s="30">
        <v>1650</v>
      </c>
      <c r="J232" s="30" t="s">
        <v>80</v>
      </c>
      <c r="K232" s="32" t="s">
        <v>93</v>
      </c>
    </row>
    <row r="233" spans="1:11" ht="14.5" x14ac:dyDescent="0.35">
      <c r="A233" s="33">
        <v>45741</v>
      </c>
      <c r="B233" s="30" t="s">
        <v>9</v>
      </c>
      <c r="C233" s="31" t="str">
        <f>VLOOKUP(B233,'Kode Data'!$B$3:$C$23,2,0)</f>
        <v>Gandum Soft Wheat</v>
      </c>
      <c r="D233" s="30" t="str">
        <f>VLOOKUP(LEFT(B233,2),'Kode Data'!$E$3:$G$6,3,0)</f>
        <v>Bahan Baku</v>
      </c>
      <c r="E233" s="31" t="s">
        <v>89</v>
      </c>
      <c r="F233" s="30">
        <v>0</v>
      </c>
      <c r="G233" s="30">
        <v>300</v>
      </c>
      <c r="H233" s="30">
        <v>1950</v>
      </c>
      <c r="I233" s="30">
        <v>1650</v>
      </c>
      <c r="J233" s="30" t="s">
        <v>87</v>
      </c>
      <c r="K233" s="32" t="s">
        <v>104</v>
      </c>
    </row>
    <row r="234" spans="1:11" ht="14.5" x14ac:dyDescent="0.35">
      <c r="A234" s="29">
        <v>45742</v>
      </c>
      <c r="B234" s="30" t="s">
        <v>38</v>
      </c>
      <c r="C234" s="31" t="str">
        <f>VLOOKUP(B234,'Kode Data'!$B$3:$C$23,2,0)</f>
        <v>Improver Tepung</v>
      </c>
      <c r="D234" s="30" t="str">
        <f>VLOOKUP(LEFT(B234,2),'Kode Data'!$E$3:$G$6,3,0)</f>
        <v>Bahan Tambahan</v>
      </c>
      <c r="E234" s="31" t="s">
        <v>117</v>
      </c>
      <c r="F234" s="30">
        <v>0</v>
      </c>
      <c r="G234" s="30">
        <v>120</v>
      </c>
      <c r="H234" s="30">
        <v>510</v>
      </c>
      <c r="I234" s="30">
        <v>390</v>
      </c>
      <c r="J234" s="30" t="s">
        <v>87</v>
      </c>
      <c r="K234" s="32" t="s">
        <v>104</v>
      </c>
    </row>
    <row r="235" spans="1:11" ht="14.5" x14ac:dyDescent="0.35">
      <c r="A235" s="29">
        <v>45742</v>
      </c>
      <c r="B235" s="30" t="s">
        <v>64</v>
      </c>
      <c r="C235" s="31" t="str">
        <f>VLOOKUP(B235,'Kode Data'!$B$3:$C$23,2,0)</f>
        <v>Tepung Terigu Protein Rendah</v>
      </c>
      <c r="D235" s="30" t="str">
        <f>VLOOKUP(LEFT(B235,2),'Kode Data'!$E$3:$G$6,3,0)</f>
        <v>Produk</v>
      </c>
      <c r="E235" s="31" t="s">
        <v>82</v>
      </c>
      <c r="F235" s="30">
        <v>0</v>
      </c>
      <c r="G235" s="30">
        <v>500</v>
      </c>
      <c r="H235" s="30">
        <v>2350</v>
      </c>
      <c r="I235" s="30">
        <v>1850</v>
      </c>
      <c r="J235" s="30" t="s">
        <v>80</v>
      </c>
      <c r="K235" s="32" t="s">
        <v>90</v>
      </c>
    </row>
    <row r="236" spans="1:11" ht="14.5" x14ac:dyDescent="0.35">
      <c r="A236" s="33">
        <v>45742</v>
      </c>
      <c r="B236" s="30" t="s">
        <v>19</v>
      </c>
      <c r="C236" s="31" t="str">
        <f>VLOOKUP(B236,'Kode Data'!$B$3:$C$23,2,0)</f>
        <v>Bran Gandum</v>
      </c>
      <c r="D236" s="30" t="str">
        <f>VLOOKUP(LEFT(B236,2),'Kode Data'!$E$3:$G$6,3,0)</f>
        <v>Bahan Baku</v>
      </c>
      <c r="E236" s="31" t="s">
        <v>118</v>
      </c>
      <c r="F236" s="30">
        <v>0</v>
      </c>
      <c r="G236" s="30">
        <v>250</v>
      </c>
      <c r="H236" s="30">
        <v>1550</v>
      </c>
      <c r="I236" s="30">
        <v>1300</v>
      </c>
      <c r="J236" s="30" t="s">
        <v>87</v>
      </c>
      <c r="K236" s="32" t="s">
        <v>104</v>
      </c>
    </row>
    <row r="237" spans="1:11" ht="14.5" x14ac:dyDescent="0.35">
      <c r="A237" s="29">
        <v>45743</v>
      </c>
      <c r="B237" s="30" t="s">
        <v>26</v>
      </c>
      <c r="C237" s="31" t="str">
        <f>VLOOKUP(B237,'Kode Data'!$B$3:$C$23,2,0)</f>
        <v>Enzim Baking</v>
      </c>
      <c r="D237" s="30" t="str">
        <f>VLOOKUP(LEFT(B237,2),'Kode Data'!$E$3:$G$6,3,0)</f>
        <v>Bahan Tambahan</v>
      </c>
      <c r="E237" s="31" t="s">
        <v>115</v>
      </c>
      <c r="F237" s="30">
        <v>0</v>
      </c>
      <c r="G237" s="30">
        <v>80</v>
      </c>
      <c r="H237" s="30">
        <v>330</v>
      </c>
      <c r="I237" s="30">
        <v>250</v>
      </c>
      <c r="J237" s="30" t="s">
        <v>87</v>
      </c>
      <c r="K237" s="32" t="s">
        <v>104</v>
      </c>
    </row>
    <row r="238" spans="1:11" ht="14.5" x14ac:dyDescent="0.35">
      <c r="A238" s="29">
        <v>45743</v>
      </c>
      <c r="B238" s="30" t="s">
        <v>30</v>
      </c>
      <c r="C238" s="31" t="str">
        <f>VLOOKUP(B238,'Kode Data'!$B$3:$C$23,2,0)</f>
        <v>Vitamin Fortifikasi</v>
      </c>
      <c r="D238" s="30" t="str">
        <f>VLOOKUP(LEFT(B238,2),'Kode Data'!$E$3:$G$6,3,0)</f>
        <v>Bahan Tambahan</v>
      </c>
      <c r="E238" s="31" t="s">
        <v>119</v>
      </c>
      <c r="F238" s="30">
        <v>0</v>
      </c>
      <c r="G238" s="30">
        <v>75</v>
      </c>
      <c r="H238" s="30">
        <v>485</v>
      </c>
      <c r="I238" s="30">
        <v>410</v>
      </c>
      <c r="J238" s="30" t="s">
        <v>87</v>
      </c>
      <c r="K238" s="32" t="s">
        <v>104</v>
      </c>
    </row>
    <row r="239" spans="1:11" ht="14.5" x14ac:dyDescent="0.35">
      <c r="A239" s="29">
        <v>45743</v>
      </c>
      <c r="B239" s="30" t="s">
        <v>42</v>
      </c>
      <c r="C239" s="31" t="str">
        <f>VLOOKUP(B239,'Kode Data'!$B$3:$C$23,2,0)</f>
        <v>Calcium Propionate</v>
      </c>
      <c r="D239" s="30" t="str">
        <f>VLOOKUP(LEFT(B239,2),'Kode Data'!$E$3:$G$6,3,0)</f>
        <v>Bahan Tambahan</v>
      </c>
      <c r="E239" s="31" t="s">
        <v>111</v>
      </c>
      <c r="F239" s="30">
        <v>0</v>
      </c>
      <c r="G239" s="30">
        <v>25</v>
      </c>
      <c r="H239" s="30">
        <v>375</v>
      </c>
      <c r="I239" s="30">
        <v>350</v>
      </c>
      <c r="J239" s="30" t="s">
        <v>87</v>
      </c>
      <c r="K239" s="32" t="s">
        <v>104</v>
      </c>
    </row>
    <row r="240" spans="1:11" ht="14.5" x14ac:dyDescent="0.35">
      <c r="A240" s="29">
        <v>45743</v>
      </c>
      <c r="B240" s="30" t="s">
        <v>64</v>
      </c>
      <c r="C240" s="31" t="str">
        <f>VLOOKUP(B240,'Kode Data'!$B$3:$C$23,2,0)</f>
        <v>Tepung Terigu Protein Rendah</v>
      </c>
      <c r="D240" s="30" t="str">
        <f>VLOOKUP(LEFT(B240,2),'Kode Data'!$E$3:$G$6,3,0)</f>
        <v>Produk</v>
      </c>
      <c r="E240" s="31" t="s">
        <v>79</v>
      </c>
      <c r="F240" s="30">
        <v>600</v>
      </c>
      <c r="G240" s="30">
        <v>0</v>
      </c>
      <c r="H240" s="30">
        <v>1850</v>
      </c>
      <c r="I240" s="30">
        <v>2450</v>
      </c>
      <c r="J240" s="30" t="s">
        <v>80</v>
      </c>
      <c r="K240" s="32" t="s">
        <v>81</v>
      </c>
    </row>
    <row r="241" spans="1:11" ht="14.5" x14ac:dyDescent="0.35">
      <c r="A241" s="33">
        <v>45743</v>
      </c>
      <c r="B241" s="30" t="s">
        <v>52</v>
      </c>
      <c r="C241" s="31" t="str">
        <f>VLOOKUP(B241,'Kode Data'!$B$3:$C$23,2,0)</f>
        <v>Plastik Kemasan 500 gr</v>
      </c>
      <c r="D241" s="30" t="str">
        <f>VLOOKUP(LEFT(B241,2),'Kode Data'!$E$3:$G$6,3,0)</f>
        <v>Kemasan</v>
      </c>
      <c r="E241" s="31" t="s">
        <v>84</v>
      </c>
      <c r="F241" s="30">
        <v>0</v>
      </c>
      <c r="G241" s="30">
        <v>300</v>
      </c>
      <c r="H241" s="30">
        <v>6950</v>
      </c>
      <c r="I241" s="30">
        <v>6650</v>
      </c>
      <c r="J241" s="30" t="s">
        <v>80</v>
      </c>
      <c r="K241" s="32" t="s">
        <v>93</v>
      </c>
    </row>
    <row r="242" spans="1:11" ht="14.5" x14ac:dyDescent="0.35">
      <c r="A242" s="33">
        <v>45743</v>
      </c>
      <c r="B242" s="30" t="s">
        <v>14</v>
      </c>
      <c r="C242" s="31" t="str">
        <f>VLOOKUP(B242,'Kode Data'!$B$3:$C$23,2,0)</f>
        <v>Gandum Durum</v>
      </c>
      <c r="D242" s="30" t="str">
        <f>VLOOKUP(LEFT(B242,2),'Kode Data'!$E$3:$G$6,3,0)</f>
        <v>Bahan Baku</v>
      </c>
      <c r="E242" s="31" t="s">
        <v>79</v>
      </c>
      <c r="F242" s="30">
        <v>0</v>
      </c>
      <c r="G242" s="30">
        <v>260</v>
      </c>
      <c r="H242" s="30">
        <v>1580</v>
      </c>
      <c r="I242" s="30">
        <v>1320</v>
      </c>
      <c r="J242" s="30" t="s">
        <v>87</v>
      </c>
      <c r="K242" s="32" t="s">
        <v>104</v>
      </c>
    </row>
    <row r="243" spans="1:11" ht="14.5" x14ac:dyDescent="0.35">
      <c r="A243" s="29">
        <v>45744</v>
      </c>
      <c r="B243" s="30" t="s">
        <v>34</v>
      </c>
      <c r="C243" s="31" t="str">
        <f>VLOOKUP(B243,'Kode Data'!$B$3:$C$23,2,0)</f>
        <v>Tepung Premix</v>
      </c>
      <c r="D243" s="30" t="str">
        <f>VLOOKUP(LEFT(B243,2),'Kode Data'!$E$3:$G$6,3,0)</f>
        <v>Bahan Tambahan</v>
      </c>
      <c r="E243" s="31" t="s">
        <v>89</v>
      </c>
      <c r="F243" s="30">
        <v>0</v>
      </c>
      <c r="G243" s="30">
        <v>140</v>
      </c>
      <c r="H243" s="30">
        <v>840</v>
      </c>
      <c r="I243" s="30">
        <v>700</v>
      </c>
      <c r="J243" s="30" t="s">
        <v>87</v>
      </c>
      <c r="K243" s="32" t="s">
        <v>104</v>
      </c>
    </row>
    <row r="244" spans="1:11" ht="14.5" x14ac:dyDescent="0.35">
      <c r="A244" s="33">
        <v>45744</v>
      </c>
      <c r="B244" s="30" t="s">
        <v>54</v>
      </c>
      <c r="C244" s="31" t="str">
        <f>VLOOKUP(B244,'Kode Data'!$B$3:$C$23,2,0)</f>
        <v>Karton Box</v>
      </c>
      <c r="D244" s="30" t="str">
        <f>VLOOKUP(LEFT(B244,2),'Kode Data'!$E$3:$G$6,3,0)</f>
        <v>Kemasan</v>
      </c>
      <c r="E244" s="31" t="s">
        <v>114</v>
      </c>
      <c r="F244" s="30">
        <v>0</v>
      </c>
      <c r="G244" s="30">
        <v>500</v>
      </c>
      <c r="H244" s="30">
        <v>7800</v>
      </c>
      <c r="I244" s="30">
        <v>7300</v>
      </c>
      <c r="J244" s="30" t="s">
        <v>80</v>
      </c>
      <c r="K244" s="32" t="s">
        <v>93</v>
      </c>
    </row>
    <row r="245" spans="1:11" ht="14.5" x14ac:dyDescent="0.35">
      <c r="A245" s="33">
        <v>45744</v>
      </c>
      <c r="B245" s="30" t="s">
        <v>24</v>
      </c>
      <c r="C245" s="31" t="str">
        <f>VLOOKUP(B245,'Kode Data'!$B$3:$C$23,2,0)</f>
        <v>Germ Gandum</v>
      </c>
      <c r="D245" s="30" t="str">
        <f>VLOOKUP(LEFT(B245,2),'Kode Data'!$E$3:$G$6,3,0)</f>
        <v>Bahan Baku</v>
      </c>
      <c r="E245" s="31" t="s">
        <v>98</v>
      </c>
      <c r="F245" s="30">
        <v>0</v>
      </c>
      <c r="G245" s="30">
        <v>170</v>
      </c>
      <c r="H245" s="30">
        <v>1240</v>
      </c>
      <c r="I245" s="30">
        <v>1070</v>
      </c>
      <c r="J245" s="30" t="s">
        <v>87</v>
      </c>
      <c r="K245" s="32" t="s">
        <v>104</v>
      </c>
    </row>
    <row r="246" spans="1:11" ht="14.5" x14ac:dyDescent="0.35">
      <c r="A246" s="29">
        <v>45745</v>
      </c>
      <c r="B246" s="30" t="s">
        <v>64</v>
      </c>
      <c r="C246" s="31" t="str">
        <f>VLOOKUP(B246,'Kode Data'!$B$3:$C$23,2,0)</f>
        <v>Tepung Terigu Protein Rendah</v>
      </c>
      <c r="D246" s="30" t="str">
        <f>VLOOKUP(LEFT(B246,2),'Kode Data'!$E$3:$G$6,3,0)</f>
        <v>Produk</v>
      </c>
      <c r="E246" s="31" t="s">
        <v>89</v>
      </c>
      <c r="F246" s="30">
        <v>0</v>
      </c>
      <c r="G246" s="30">
        <v>550</v>
      </c>
      <c r="H246" s="30">
        <v>2450</v>
      </c>
      <c r="I246" s="30">
        <v>1900</v>
      </c>
      <c r="J246" s="30" t="s">
        <v>80</v>
      </c>
      <c r="K246" s="32" t="s">
        <v>90</v>
      </c>
    </row>
    <row r="247" spans="1:11" ht="14.5" x14ac:dyDescent="0.35">
      <c r="A247" s="33">
        <v>45745</v>
      </c>
      <c r="B247" s="30" t="s">
        <v>58</v>
      </c>
      <c r="C247" s="31" t="str">
        <f>VLOOKUP(B247,'Kode Data'!$B$3:$C$23,2,0)</f>
        <v>Pallet Kayu</v>
      </c>
      <c r="D247" s="30" t="str">
        <f>VLOOKUP(LEFT(B247,2),'Kode Data'!$E$3:$G$6,3,0)</f>
        <v>Kemasan</v>
      </c>
      <c r="E247" s="31" t="s">
        <v>122</v>
      </c>
      <c r="F247" s="30">
        <v>0</v>
      </c>
      <c r="G247" s="30">
        <v>30</v>
      </c>
      <c r="H247" s="30">
        <v>200</v>
      </c>
      <c r="I247" s="30">
        <v>170</v>
      </c>
      <c r="J247" s="30" t="s">
        <v>80</v>
      </c>
      <c r="K247" s="32" t="s">
        <v>93</v>
      </c>
    </row>
    <row r="248" spans="1:11" ht="14.5" x14ac:dyDescent="0.35">
      <c r="A248" s="29">
        <v>45746</v>
      </c>
      <c r="B248" s="30" t="s">
        <v>62</v>
      </c>
      <c r="C248" s="31" t="str">
        <f>VLOOKUP(B248,'Kode Data'!$B$3:$C$23,2,0)</f>
        <v>Tepung Terigu Serbaguna</v>
      </c>
      <c r="D248" s="30" t="str">
        <f>VLOOKUP(LEFT(B248,2),'Kode Data'!$E$3:$G$6,3,0)</f>
        <v>Produk</v>
      </c>
      <c r="E248" s="31" t="s">
        <v>89</v>
      </c>
      <c r="F248" s="30">
        <v>0</v>
      </c>
      <c r="G248" s="30">
        <v>500</v>
      </c>
      <c r="H248" s="30">
        <v>1350</v>
      </c>
      <c r="I248" s="30">
        <v>850</v>
      </c>
      <c r="J248" s="30" t="s">
        <v>80</v>
      </c>
      <c r="K248" s="32" t="s">
        <v>90</v>
      </c>
    </row>
    <row r="249" spans="1:11" ht="14.5" x14ac:dyDescent="0.35">
      <c r="A249" s="29">
        <v>45746</v>
      </c>
      <c r="B249" s="30" t="s">
        <v>64</v>
      </c>
      <c r="C249" s="31" t="str">
        <f>VLOOKUP(B249,'Kode Data'!$B$3:$C$23,2,0)</f>
        <v>Tepung Terigu Protein Rendah</v>
      </c>
      <c r="D249" s="30" t="str">
        <f>VLOOKUP(LEFT(B249,2),'Kode Data'!$E$3:$G$6,3,0)</f>
        <v>Produk</v>
      </c>
      <c r="E249" s="31" t="s">
        <v>82</v>
      </c>
      <c r="F249" s="30">
        <v>650</v>
      </c>
      <c r="G249" s="30">
        <v>0</v>
      </c>
      <c r="H249" s="30">
        <v>1900</v>
      </c>
      <c r="I249" s="30">
        <v>2550</v>
      </c>
      <c r="J249" s="30" t="s">
        <v>80</v>
      </c>
      <c r="K249" s="32" t="s">
        <v>81</v>
      </c>
    </row>
    <row r="250" spans="1:11" ht="14.5" x14ac:dyDescent="0.35">
      <c r="A250" s="33">
        <v>45747</v>
      </c>
      <c r="B250" s="30" t="s">
        <v>4</v>
      </c>
      <c r="C250" s="31" t="str">
        <f>VLOOKUP(B250,'Kode Data'!$B$3:$C$23,2,0)</f>
        <v>Gandum Hard Wheat</v>
      </c>
      <c r="D250" s="30" t="str">
        <f>VLOOKUP(LEFT(B250,2),'Kode Data'!$E$3:$G$6,3,0)</f>
        <v>Bahan Baku</v>
      </c>
      <c r="E250" s="31" t="s">
        <v>79</v>
      </c>
      <c r="F250" s="30">
        <v>450</v>
      </c>
      <c r="G250" s="30">
        <v>0</v>
      </c>
      <c r="H250" s="30">
        <v>1850</v>
      </c>
      <c r="I250" s="30">
        <v>2300</v>
      </c>
      <c r="J250" s="30" t="s">
        <v>87</v>
      </c>
      <c r="K250" s="32" t="s">
        <v>110</v>
      </c>
    </row>
    <row r="251" spans="1:11" ht="14.5" x14ac:dyDescent="0.35">
      <c r="A251" s="29">
        <v>45748</v>
      </c>
      <c r="B251" s="30" t="s">
        <v>64</v>
      </c>
      <c r="C251" s="31" t="str">
        <f>VLOOKUP(B251,'Kode Data'!$B$3:$C$23,2,0)</f>
        <v>Tepung Terigu Protein Rendah</v>
      </c>
      <c r="D251" s="30" t="str">
        <f>VLOOKUP(LEFT(B251,2),'Kode Data'!$E$3:$G$6,3,0)</f>
        <v>Produk</v>
      </c>
      <c r="E251" s="31" t="s">
        <v>79</v>
      </c>
      <c r="F251" s="30">
        <v>0</v>
      </c>
      <c r="G251" s="30">
        <v>500</v>
      </c>
      <c r="H251" s="30">
        <v>2550</v>
      </c>
      <c r="I251" s="30">
        <v>2050</v>
      </c>
      <c r="J251" s="30" t="s">
        <v>80</v>
      </c>
      <c r="K251" s="32" t="s">
        <v>90</v>
      </c>
    </row>
    <row r="252" spans="1:11" ht="14.5" x14ac:dyDescent="0.35">
      <c r="A252" s="33">
        <v>45748</v>
      </c>
      <c r="B252" s="30" t="s">
        <v>56</v>
      </c>
      <c r="C252" s="31" t="str">
        <f>VLOOKUP(B252,'Kode Data'!$B$3:$C$23,2,0)</f>
        <v>Label Produk</v>
      </c>
      <c r="D252" s="30" t="str">
        <f>VLOOKUP(LEFT(B252,2),'Kode Data'!$E$3:$G$6,3,0)</f>
        <v>Kemasan</v>
      </c>
      <c r="E252" s="31" t="s">
        <v>103</v>
      </c>
      <c r="F252" s="30">
        <v>600</v>
      </c>
      <c r="G252" s="30">
        <v>0</v>
      </c>
      <c r="H252" s="30">
        <v>1650</v>
      </c>
      <c r="I252" s="30">
        <v>2250</v>
      </c>
      <c r="J252" s="30" t="s">
        <v>80</v>
      </c>
      <c r="K252" s="32" t="s">
        <v>85</v>
      </c>
    </row>
    <row r="253" spans="1:11" ht="14.5" x14ac:dyDescent="0.35">
      <c r="A253" s="33">
        <v>45748</v>
      </c>
      <c r="B253" s="30" t="s">
        <v>9</v>
      </c>
      <c r="C253" s="31" t="str">
        <f>VLOOKUP(B253,'Kode Data'!$B$3:$C$23,2,0)</f>
        <v>Gandum Soft Wheat</v>
      </c>
      <c r="D253" s="30" t="str">
        <f>VLOOKUP(LEFT(B253,2),'Kode Data'!$E$3:$G$6,3,0)</f>
        <v>Bahan Baku</v>
      </c>
      <c r="E253" s="31" t="s">
        <v>79</v>
      </c>
      <c r="F253" s="30">
        <v>450</v>
      </c>
      <c r="G253" s="30">
        <v>0</v>
      </c>
      <c r="H253" s="30">
        <v>1650</v>
      </c>
      <c r="I253" s="30">
        <v>2100</v>
      </c>
      <c r="J253" s="30" t="s">
        <v>87</v>
      </c>
      <c r="K253" s="32" t="s">
        <v>88</v>
      </c>
    </row>
    <row r="254" spans="1:11" ht="14.5" x14ac:dyDescent="0.35">
      <c r="A254" s="29">
        <v>45749</v>
      </c>
      <c r="B254" s="30" t="s">
        <v>38</v>
      </c>
      <c r="C254" s="31" t="str">
        <f>VLOOKUP(B254,'Kode Data'!$B$3:$C$23,2,0)</f>
        <v>Improver Tepung</v>
      </c>
      <c r="D254" s="30" t="str">
        <f>VLOOKUP(LEFT(B254,2),'Kode Data'!$E$3:$G$6,3,0)</f>
        <v>Bahan Tambahan</v>
      </c>
      <c r="E254" s="31" t="s">
        <v>95</v>
      </c>
      <c r="F254" s="30">
        <v>160</v>
      </c>
      <c r="G254" s="30">
        <v>0</v>
      </c>
      <c r="H254" s="30">
        <v>390</v>
      </c>
      <c r="I254" s="30">
        <v>550</v>
      </c>
      <c r="J254" s="30" t="s">
        <v>87</v>
      </c>
      <c r="K254" s="32" t="s">
        <v>96</v>
      </c>
    </row>
    <row r="255" spans="1:11" ht="14.5" x14ac:dyDescent="0.35">
      <c r="A255" s="29">
        <v>45749</v>
      </c>
      <c r="B255" s="30" t="s">
        <v>42</v>
      </c>
      <c r="C255" s="31" t="str">
        <f>VLOOKUP(B255,'Kode Data'!$B$3:$C$23,2,0)</f>
        <v>Calcium Propionate</v>
      </c>
      <c r="D255" s="30" t="str">
        <f>VLOOKUP(LEFT(B255,2),'Kode Data'!$E$3:$G$6,3,0)</f>
        <v>Bahan Tambahan</v>
      </c>
      <c r="E255" s="31" t="s">
        <v>121</v>
      </c>
      <c r="F255" s="30">
        <v>50</v>
      </c>
      <c r="G255" s="30">
        <v>0</v>
      </c>
      <c r="H255" s="30">
        <v>350</v>
      </c>
      <c r="I255" s="30">
        <v>400</v>
      </c>
      <c r="J255" s="30" t="s">
        <v>87</v>
      </c>
      <c r="K255" s="32" t="s">
        <v>116</v>
      </c>
    </row>
    <row r="256" spans="1:11" ht="14.5" x14ac:dyDescent="0.35">
      <c r="A256" s="29">
        <v>45749</v>
      </c>
      <c r="B256" s="30" t="s">
        <v>60</v>
      </c>
      <c r="C256" s="31" t="str">
        <f>VLOOKUP(B256,'Kode Data'!$B$3:$C$23,2,0)</f>
        <v>Tepung Terigu Protein Tinggi</v>
      </c>
      <c r="D256" s="30" t="str">
        <f>VLOOKUP(LEFT(B256,2),'Kode Data'!$E$3:$G$6,3,0)</f>
        <v>Produk</v>
      </c>
      <c r="E256" s="31" t="s">
        <v>102</v>
      </c>
      <c r="F256" s="30">
        <v>500</v>
      </c>
      <c r="G256" s="30">
        <v>0</v>
      </c>
      <c r="H256" s="30">
        <v>900</v>
      </c>
      <c r="I256" s="30">
        <v>1400</v>
      </c>
      <c r="J256" s="30" t="s">
        <v>80</v>
      </c>
      <c r="K256" s="32" t="s">
        <v>81</v>
      </c>
    </row>
    <row r="257" spans="1:11" ht="14.5" x14ac:dyDescent="0.35">
      <c r="A257" s="29">
        <v>45749</v>
      </c>
      <c r="B257" s="30" t="s">
        <v>62</v>
      </c>
      <c r="C257" s="31" t="str">
        <f>VLOOKUP(B257,'Kode Data'!$B$3:$C$23,2,0)</f>
        <v>Tepung Terigu Serbaguna</v>
      </c>
      <c r="D257" s="30" t="str">
        <f>VLOOKUP(LEFT(B257,2),'Kode Data'!$E$3:$G$6,3,0)</f>
        <v>Produk</v>
      </c>
      <c r="E257" s="31" t="s">
        <v>82</v>
      </c>
      <c r="F257" s="30">
        <v>600</v>
      </c>
      <c r="G257" s="30">
        <v>0</v>
      </c>
      <c r="H257" s="30">
        <v>850</v>
      </c>
      <c r="I257" s="30">
        <v>1450</v>
      </c>
      <c r="J257" s="30" t="s">
        <v>80</v>
      </c>
      <c r="K257" s="32" t="s">
        <v>81</v>
      </c>
    </row>
    <row r="258" spans="1:11" ht="14.5" x14ac:dyDescent="0.35">
      <c r="A258" s="29">
        <v>45749</v>
      </c>
      <c r="B258" s="30" t="s">
        <v>64</v>
      </c>
      <c r="C258" s="31" t="str">
        <f>VLOOKUP(B258,'Kode Data'!$B$3:$C$23,2,0)</f>
        <v>Tepung Terigu Protein Rendah</v>
      </c>
      <c r="D258" s="30" t="str">
        <f>VLOOKUP(LEFT(B258,2),'Kode Data'!$E$3:$G$6,3,0)</f>
        <v>Produk</v>
      </c>
      <c r="E258" s="31" t="s">
        <v>89</v>
      </c>
      <c r="F258" s="30">
        <v>600</v>
      </c>
      <c r="G258" s="30">
        <v>0</v>
      </c>
      <c r="H258" s="30">
        <v>2050</v>
      </c>
      <c r="I258" s="30">
        <v>2650</v>
      </c>
      <c r="J258" s="30" t="s">
        <v>80</v>
      </c>
      <c r="K258" s="32" t="s">
        <v>81</v>
      </c>
    </row>
    <row r="259" spans="1:11" ht="14.5" x14ac:dyDescent="0.35">
      <c r="A259" s="33">
        <v>45749</v>
      </c>
      <c r="B259" s="30" t="s">
        <v>14</v>
      </c>
      <c r="C259" s="31" t="str">
        <f>VLOOKUP(B259,'Kode Data'!$B$3:$C$23,2,0)</f>
        <v>Gandum Durum</v>
      </c>
      <c r="D259" s="30" t="str">
        <f>VLOOKUP(LEFT(B259,2),'Kode Data'!$E$3:$G$6,3,0)</f>
        <v>Bahan Baku</v>
      </c>
      <c r="E259" s="31" t="s">
        <v>98</v>
      </c>
      <c r="F259" s="30">
        <v>250</v>
      </c>
      <c r="G259" s="30">
        <v>0</v>
      </c>
      <c r="H259" s="30">
        <v>1320</v>
      </c>
      <c r="I259" s="30">
        <v>1570</v>
      </c>
      <c r="J259" s="30" t="s">
        <v>87</v>
      </c>
      <c r="K259" s="32" t="s">
        <v>110</v>
      </c>
    </row>
    <row r="260" spans="1:11" ht="14.5" x14ac:dyDescent="0.35">
      <c r="A260" s="33">
        <v>45750</v>
      </c>
      <c r="B260" s="30" t="s">
        <v>24</v>
      </c>
      <c r="C260" s="31" t="str">
        <f>VLOOKUP(B260,'Kode Data'!$B$3:$C$23,2,0)</f>
        <v>Germ Gandum</v>
      </c>
      <c r="D260" s="30" t="str">
        <f>VLOOKUP(LEFT(B260,2),'Kode Data'!$E$3:$G$6,3,0)</f>
        <v>Bahan Baku</v>
      </c>
      <c r="E260" s="31" t="s">
        <v>79</v>
      </c>
      <c r="F260" s="30">
        <v>280</v>
      </c>
      <c r="G260" s="30">
        <v>0</v>
      </c>
      <c r="H260" s="30">
        <v>1070</v>
      </c>
      <c r="I260" s="30">
        <v>1350</v>
      </c>
      <c r="J260" s="30" t="s">
        <v>87</v>
      </c>
      <c r="K260" s="32" t="s">
        <v>88</v>
      </c>
    </row>
    <row r="261" spans="1:11" ht="14.5" x14ac:dyDescent="0.35">
      <c r="A261" s="29">
        <v>45751</v>
      </c>
      <c r="B261" s="30" t="s">
        <v>34</v>
      </c>
      <c r="C261" s="31" t="str">
        <f>VLOOKUP(B261,'Kode Data'!$B$3:$C$23,2,0)</f>
        <v>Tepung Premix</v>
      </c>
      <c r="D261" s="30" t="str">
        <f>VLOOKUP(LEFT(B261,2),'Kode Data'!$E$3:$G$6,3,0)</f>
        <v>Bahan Tambahan</v>
      </c>
      <c r="E261" s="31" t="s">
        <v>82</v>
      </c>
      <c r="F261" s="30">
        <v>180</v>
      </c>
      <c r="G261" s="30">
        <v>0</v>
      </c>
      <c r="H261" s="30">
        <v>700</v>
      </c>
      <c r="I261" s="30">
        <v>880</v>
      </c>
      <c r="J261" s="30" t="s">
        <v>87</v>
      </c>
      <c r="K261" s="32" t="s">
        <v>96</v>
      </c>
    </row>
    <row r="262" spans="1:11" ht="14.5" x14ac:dyDescent="0.35">
      <c r="A262" s="29">
        <v>45751</v>
      </c>
      <c r="B262" s="30" t="s">
        <v>64</v>
      </c>
      <c r="C262" s="31" t="str">
        <f>VLOOKUP(B262,'Kode Data'!$B$3:$C$23,2,0)</f>
        <v>Tepung Terigu Protein Rendah</v>
      </c>
      <c r="D262" s="30" t="str">
        <f>VLOOKUP(LEFT(B262,2),'Kode Data'!$E$3:$G$6,3,0)</f>
        <v>Produk</v>
      </c>
      <c r="E262" s="31" t="s">
        <v>82</v>
      </c>
      <c r="F262" s="30">
        <v>0</v>
      </c>
      <c r="G262" s="30">
        <v>550</v>
      </c>
      <c r="H262" s="30">
        <v>2650</v>
      </c>
      <c r="I262" s="30">
        <v>2100</v>
      </c>
      <c r="J262" s="30" t="s">
        <v>80</v>
      </c>
      <c r="K262" s="32" t="s">
        <v>90</v>
      </c>
    </row>
    <row r="263" spans="1:11" ht="14.5" x14ac:dyDescent="0.35">
      <c r="A263" s="33">
        <v>45751</v>
      </c>
      <c r="B263" s="30" t="s">
        <v>54</v>
      </c>
      <c r="C263" s="31" t="str">
        <f>VLOOKUP(B263,'Kode Data'!$B$3:$C$23,2,0)</f>
        <v>Karton Box</v>
      </c>
      <c r="D263" s="30" t="str">
        <f>VLOOKUP(LEFT(B263,2),'Kode Data'!$E$3:$G$6,3,0)</f>
        <v>Kemasan</v>
      </c>
      <c r="E263" s="31" t="s">
        <v>97</v>
      </c>
      <c r="F263" s="30">
        <v>900</v>
      </c>
      <c r="G263" s="30">
        <v>0</v>
      </c>
      <c r="H263" s="30">
        <v>7300</v>
      </c>
      <c r="I263" s="30">
        <v>8200</v>
      </c>
      <c r="J263" s="30" t="s">
        <v>80</v>
      </c>
      <c r="K263" s="32" t="s">
        <v>85</v>
      </c>
    </row>
    <row r="264" spans="1:11" ht="14.5" x14ac:dyDescent="0.35">
      <c r="A264" s="33">
        <v>45752</v>
      </c>
      <c r="B264" s="30" t="s">
        <v>58</v>
      </c>
      <c r="C264" s="31" t="str">
        <f>VLOOKUP(B264,'Kode Data'!$B$3:$C$23,2,0)</f>
        <v>Pallet Kayu</v>
      </c>
      <c r="D264" s="30" t="str">
        <f>VLOOKUP(LEFT(B264,2),'Kode Data'!$E$3:$G$6,3,0)</f>
        <v>Kemasan</v>
      </c>
      <c r="E264" s="31" t="s">
        <v>94</v>
      </c>
      <c r="F264" s="30">
        <v>60</v>
      </c>
      <c r="G264" s="30">
        <v>0</v>
      </c>
      <c r="H264" s="30">
        <v>170</v>
      </c>
      <c r="I264" s="30">
        <v>230</v>
      </c>
      <c r="J264" s="30" t="s">
        <v>80</v>
      </c>
      <c r="K264" s="32" t="s">
        <v>85</v>
      </c>
    </row>
    <row r="265" spans="1:11" ht="14.5" x14ac:dyDescent="0.35">
      <c r="A265" s="33">
        <v>45752</v>
      </c>
      <c r="B265" s="30" t="s">
        <v>19</v>
      </c>
      <c r="C265" s="31" t="str">
        <f>VLOOKUP(B265,'Kode Data'!$B$3:$C$23,2,0)</f>
        <v>Bran Gandum</v>
      </c>
      <c r="D265" s="30" t="str">
        <f>VLOOKUP(LEFT(B265,2),'Kode Data'!$E$3:$G$6,3,0)</f>
        <v>Bahan Baku</v>
      </c>
      <c r="E265" s="31" t="s">
        <v>79</v>
      </c>
      <c r="F265" s="30">
        <v>300</v>
      </c>
      <c r="G265" s="30">
        <v>0</v>
      </c>
      <c r="H265" s="30">
        <v>1300</v>
      </c>
      <c r="I265" s="30">
        <v>1600</v>
      </c>
      <c r="J265" s="30" t="s">
        <v>87</v>
      </c>
      <c r="K265" s="32" t="s">
        <v>88</v>
      </c>
    </row>
    <row r="266" spans="1:11" ht="14.5" x14ac:dyDescent="0.35">
      <c r="A266" s="29">
        <v>45753</v>
      </c>
      <c r="B266" s="30" t="s">
        <v>26</v>
      </c>
      <c r="C266" s="31" t="str">
        <f>VLOOKUP(B266,'Kode Data'!$B$3:$C$23,2,0)</f>
        <v>Enzim Baking</v>
      </c>
      <c r="D266" s="30" t="str">
        <f>VLOOKUP(LEFT(B266,2),'Kode Data'!$E$3:$G$6,3,0)</f>
        <v>Bahan Tambahan</v>
      </c>
      <c r="E266" s="31" t="s">
        <v>100</v>
      </c>
      <c r="F266" s="30">
        <v>130</v>
      </c>
      <c r="G266" s="30">
        <v>0</v>
      </c>
      <c r="H266" s="30">
        <v>250</v>
      </c>
      <c r="I266" s="30">
        <v>380</v>
      </c>
      <c r="J266" s="30" t="s">
        <v>87</v>
      </c>
      <c r="K266" s="32" t="s">
        <v>96</v>
      </c>
    </row>
    <row r="267" spans="1:11" ht="14.5" x14ac:dyDescent="0.35">
      <c r="A267" s="29">
        <v>45753</v>
      </c>
      <c r="B267" s="30" t="s">
        <v>30</v>
      </c>
      <c r="C267" s="31" t="str">
        <f>VLOOKUP(B267,'Kode Data'!$B$3:$C$23,2,0)</f>
        <v>Vitamin Fortifikasi</v>
      </c>
      <c r="D267" s="30" t="str">
        <f>VLOOKUP(LEFT(B267,2),'Kode Data'!$E$3:$G$6,3,0)</f>
        <v>Bahan Tambahan</v>
      </c>
      <c r="E267" s="31" t="s">
        <v>101</v>
      </c>
      <c r="F267" s="30">
        <v>100</v>
      </c>
      <c r="G267" s="30">
        <v>0</v>
      </c>
      <c r="H267" s="30">
        <v>410</v>
      </c>
      <c r="I267" s="30">
        <v>510</v>
      </c>
      <c r="J267" s="30" t="s">
        <v>87</v>
      </c>
      <c r="K267" s="32" t="s">
        <v>96</v>
      </c>
    </row>
    <row r="268" spans="1:11" ht="14.5" x14ac:dyDescent="0.35">
      <c r="A268" s="29">
        <v>45753</v>
      </c>
      <c r="B268" s="30" t="s">
        <v>64</v>
      </c>
      <c r="C268" s="31" t="str">
        <f>VLOOKUP(B268,'Kode Data'!$B$3:$C$23,2,0)</f>
        <v>Tepung Terigu Protein Rendah</v>
      </c>
      <c r="D268" s="30" t="str">
        <f>VLOOKUP(LEFT(B268,2),'Kode Data'!$E$3:$G$6,3,0)</f>
        <v>Produk</v>
      </c>
      <c r="E268" s="31" t="s">
        <v>79</v>
      </c>
      <c r="F268" s="30">
        <v>650</v>
      </c>
      <c r="G268" s="30">
        <v>0</v>
      </c>
      <c r="H268" s="30">
        <v>2100</v>
      </c>
      <c r="I268" s="30">
        <v>2750</v>
      </c>
      <c r="J268" s="30" t="s">
        <v>80</v>
      </c>
      <c r="K268" s="32" t="s">
        <v>81</v>
      </c>
    </row>
    <row r="269" spans="1:11" ht="14.5" x14ac:dyDescent="0.35">
      <c r="A269" s="29">
        <v>45754</v>
      </c>
      <c r="B269" s="30" t="s">
        <v>64</v>
      </c>
      <c r="C269" s="31" t="str">
        <f>VLOOKUP(B269,'Kode Data'!$B$3:$C$23,2,0)</f>
        <v>Tepung Terigu Protein Rendah</v>
      </c>
      <c r="D269" s="30" t="str">
        <f>VLOOKUP(LEFT(B269,2),'Kode Data'!$E$3:$G$6,3,0)</f>
        <v>Produk</v>
      </c>
      <c r="E269" s="31" t="s">
        <v>89</v>
      </c>
      <c r="F269" s="30">
        <v>0</v>
      </c>
      <c r="G269" s="30">
        <v>500</v>
      </c>
      <c r="H269" s="30">
        <v>2750</v>
      </c>
      <c r="I269" s="30">
        <v>2250</v>
      </c>
      <c r="J269" s="30" t="s">
        <v>80</v>
      </c>
      <c r="K269" s="32" t="s">
        <v>90</v>
      </c>
    </row>
    <row r="270" spans="1:11" ht="14.5" x14ac:dyDescent="0.35">
      <c r="A270" s="33">
        <v>45754</v>
      </c>
      <c r="B270" s="30" t="s">
        <v>4</v>
      </c>
      <c r="C270" s="31" t="str">
        <f>VLOOKUP(B270,'Kode Data'!$B$3:$C$23,2,0)</f>
        <v>Gandum Hard Wheat</v>
      </c>
      <c r="D270" s="30" t="str">
        <f>VLOOKUP(LEFT(B270,2),'Kode Data'!$E$3:$G$6,3,0)</f>
        <v>Bahan Baku</v>
      </c>
      <c r="E270" s="31" t="s">
        <v>98</v>
      </c>
      <c r="F270" s="30">
        <v>0</v>
      </c>
      <c r="G270" s="30">
        <v>350</v>
      </c>
      <c r="H270" s="30">
        <v>2300</v>
      </c>
      <c r="I270" s="30">
        <v>1950</v>
      </c>
      <c r="J270" s="30" t="s">
        <v>87</v>
      </c>
      <c r="K270" s="32" t="s">
        <v>104</v>
      </c>
    </row>
    <row r="271" spans="1:11" ht="14.5" x14ac:dyDescent="0.35">
      <c r="A271" s="33">
        <v>45755</v>
      </c>
      <c r="B271" s="30" t="s">
        <v>9</v>
      </c>
      <c r="C271" s="31" t="str">
        <f>VLOOKUP(B271,'Kode Data'!$B$3:$C$23,2,0)</f>
        <v>Gandum Soft Wheat</v>
      </c>
      <c r="D271" s="30" t="str">
        <f>VLOOKUP(LEFT(B271,2),'Kode Data'!$E$3:$G$6,3,0)</f>
        <v>Bahan Baku</v>
      </c>
      <c r="E271" s="31" t="s">
        <v>98</v>
      </c>
      <c r="F271" s="30">
        <v>0</v>
      </c>
      <c r="G271" s="30">
        <v>350</v>
      </c>
      <c r="H271" s="30">
        <v>2100</v>
      </c>
      <c r="I271" s="30">
        <v>1750</v>
      </c>
      <c r="J271" s="30" t="s">
        <v>87</v>
      </c>
      <c r="K271" s="32" t="s">
        <v>104</v>
      </c>
    </row>
    <row r="272" spans="1:11" ht="14.5" x14ac:dyDescent="0.35">
      <c r="A272" s="29">
        <v>45756</v>
      </c>
      <c r="B272" s="30" t="s">
        <v>38</v>
      </c>
      <c r="C272" s="31" t="str">
        <f>VLOOKUP(B272,'Kode Data'!$B$3:$C$23,2,0)</f>
        <v>Improver Tepung</v>
      </c>
      <c r="D272" s="30" t="str">
        <f>VLOOKUP(LEFT(B272,2),'Kode Data'!$E$3:$G$6,3,0)</f>
        <v>Bahan Tambahan</v>
      </c>
      <c r="E272" s="31" t="s">
        <v>107</v>
      </c>
      <c r="F272" s="30">
        <v>0</v>
      </c>
      <c r="G272" s="30">
        <v>140</v>
      </c>
      <c r="H272" s="30">
        <v>550</v>
      </c>
      <c r="I272" s="30">
        <v>410</v>
      </c>
      <c r="J272" s="30" t="s">
        <v>87</v>
      </c>
      <c r="K272" s="32" t="s">
        <v>104</v>
      </c>
    </row>
    <row r="273" spans="1:11" ht="14.5" x14ac:dyDescent="0.35">
      <c r="A273" s="29">
        <v>45756</v>
      </c>
      <c r="B273" s="30" t="s">
        <v>42</v>
      </c>
      <c r="C273" s="31" t="str">
        <f>VLOOKUP(B273,'Kode Data'!$B$3:$C$23,2,0)</f>
        <v>Calcium Propionate</v>
      </c>
      <c r="D273" s="30" t="str">
        <f>VLOOKUP(LEFT(B273,2),'Kode Data'!$E$3:$G$6,3,0)</f>
        <v>Bahan Tambahan</v>
      </c>
      <c r="E273" s="31" t="s">
        <v>95</v>
      </c>
      <c r="F273" s="30">
        <v>0</v>
      </c>
      <c r="G273" s="30">
        <v>30</v>
      </c>
      <c r="H273" s="30">
        <v>400</v>
      </c>
      <c r="I273" s="30">
        <v>370</v>
      </c>
      <c r="J273" s="30" t="s">
        <v>87</v>
      </c>
      <c r="K273" s="32" t="s">
        <v>104</v>
      </c>
    </row>
    <row r="274" spans="1:11" ht="14.5" x14ac:dyDescent="0.35">
      <c r="A274" s="29">
        <v>45756</v>
      </c>
      <c r="B274" s="30" t="s">
        <v>62</v>
      </c>
      <c r="C274" s="31" t="str">
        <f>VLOOKUP(B274,'Kode Data'!$B$3:$C$23,2,0)</f>
        <v>Tepung Terigu Serbaguna</v>
      </c>
      <c r="D274" s="30" t="str">
        <f>VLOOKUP(LEFT(B274,2),'Kode Data'!$E$3:$G$6,3,0)</f>
        <v>Produk</v>
      </c>
      <c r="E274" s="31" t="s">
        <v>79</v>
      </c>
      <c r="F274" s="30">
        <v>0</v>
      </c>
      <c r="G274" s="30">
        <v>450</v>
      </c>
      <c r="H274" s="30">
        <v>1450</v>
      </c>
      <c r="I274" s="30">
        <v>1000</v>
      </c>
      <c r="J274" s="30" t="s">
        <v>80</v>
      </c>
      <c r="K274" s="32" t="s">
        <v>90</v>
      </c>
    </row>
    <row r="275" spans="1:11" ht="14.5" x14ac:dyDescent="0.35">
      <c r="A275" s="29">
        <v>45756</v>
      </c>
      <c r="B275" s="30" t="s">
        <v>64</v>
      </c>
      <c r="C275" s="31" t="str">
        <f>VLOOKUP(B275,'Kode Data'!$B$3:$C$23,2,0)</f>
        <v>Tepung Terigu Protein Rendah</v>
      </c>
      <c r="D275" s="30" t="str">
        <f>VLOOKUP(LEFT(B275,2),'Kode Data'!$E$3:$G$6,3,0)</f>
        <v>Produk</v>
      </c>
      <c r="E275" s="31" t="s">
        <v>82</v>
      </c>
      <c r="F275" s="30">
        <v>600</v>
      </c>
      <c r="G275" s="30">
        <v>0</v>
      </c>
      <c r="H275" s="30">
        <v>2250</v>
      </c>
      <c r="I275" s="30">
        <v>2850</v>
      </c>
      <c r="J275" s="30" t="s">
        <v>80</v>
      </c>
      <c r="K275" s="32" t="s">
        <v>81</v>
      </c>
    </row>
    <row r="276" spans="1:11" ht="14.5" x14ac:dyDescent="0.35">
      <c r="A276" s="33">
        <v>45756</v>
      </c>
      <c r="B276" s="30" t="s">
        <v>56</v>
      </c>
      <c r="C276" s="31" t="str">
        <f>VLOOKUP(B276,'Kode Data'!$B$3:$C$23,2,0)</f>
        <v>Label Produk</v>
      </c>
      <c r="D276" s="30" t="str">
        <f>VLOOKUP(LEFT(B276,2),'Kode Data'!$E$3:$G$6,3,0)</f>
        <v>Kemasan</v>
      </c>
      <c r="E276" s="31" t="s">
        <v>103</v>
      </c>
      <c r="F276" s="30">
        <v>0</v>
      </c>
      <c r="G276" s="30">
        <v>500</v>
      </c>
      <c r="H276" s="30">
        <v>2250</v>
      </c>
      <c r="I276" s="30">
        <v>1750</v>
      </c>
      <c r="J276" s="30" t="s">
        <v>80</v>
      </c>
      <c r="K276" s="32" t="s">
        <v>93</v>
      </c>
    </row>
    <row r="277" spans="1:11" ht="14.5" x14ac:dyDescent="0.35">
      <c r="A277" s="29">
        <v>45757</v>
      </c>
      <c r="B277" s="30" t="s">
        <v>60</v>
      </c>
      <c r="C277" s="31" t="str">
        <f>VLOOKUP(B277,'Kode Data'!$B$3:$C$23,2,0)</f>
        <v>Tepung Terigu Protein Tinggi</v>
      </c>
      <c r="D277" s="30" t="str">
        <f>VLOOKUP(LEFT(B277,2),'Kode Data'!$E$3:$G$6,3,0)</f>
        <v>Produk</v>
      </c>
      <c r="E277" s="31" t="s">
        <v>108</v>
      </c>
      <c r="F277" s="30">
        <v>0</v>
      </c>
      <c r="G277" s="30">
        <v>400</v>
      </c>
      <c r="H277" s="30">
        <v>1400</v>
      </c>
      <c r="I277" s="30">
        <v>1000</v>
      </c>
      <c r="J277" s="30" t="s">
        <v>80</v>
      </c>
      <c r="K277" s="32" t="s">
        <v>90</v>
      </c>
    </row>
    <row r="278" spans="1:11" ht="14.5" x14ac:dyDescent="0.35">
      <c r="A278" s="29">
        <v>45757</v>
      </c>
      <c r="B278" s="30" t="s">
        <v>64</v>
      </c>
      <c r="C278" s="31" t="str">
        <f>VLOOKUP(B278,'Kode Data'!$B$3:$C$23,2,0)</f>
        <v>Tepung Terigu Protein Rendah</v>
      </c>
      <c r="D278" s="30" t="str">
        <f>VLOOKUP(LEFT(B278,2),'Kode Data'!$E$3:$G$6,3,0)</f>
        <v>Produk</v>
      </c>
      <c r="E278" s="31" t="s">
        <v>79</v>
      </c>
      <c r="F278" s="30">
        <v>0</v>
      </c>
      <c r="G278" s="30">
        <v>550</v>
      </c>
      <c r="H278" s="30">
        <v>2850</v>
      </c>
      <c r="I278" s="30">
        <v>2300</v>
      </c>
      <c r="J278" s="30" t="s">
        <v>80</v>
      </c>
      <c r="K278" s="32" t="s">
        <v>90</v>
      </c>
    </row>
    <row r="279" spans="1:11" ht="14.5" x14ac:dyDescent="0.35">
      <c r="A279" s="33">
        <v>45757</v>
      </c>
      <c r="B279" s="30" t="s">
        <v>14</v>
      </c>
      <c r="C279" s="31" t="str">
        <f>VLOOKUP(B279,'Kode Data'!$B$3:$C$23,2,0)</f>
        <v>Gandum Durum</v>
      </c>
      <c r="D279" s="30" t="str">
        <f>VLOOKUP(LEFT(B279,2),'Kode Data'!$E$3:$G$6,3,0)</f>
        <v>Bahan Baku</v>
      </c>
      <c r="E279" s="31" t="s">
        <v>79</v>
      </c>
      <c r="F279" s="30">
        <v>0</v>
      </c>
      <c r="G279" s="30">
        <v>200</v>
      </c>
      <c r="H279" s="30">
        <v>1570</v>
      </c>
      <c r="I279" s="30">
        <v>1370</v>
      </c>
      <c r="J279" s="30" t="s">
        <v>87</v>
      </c>
      <c r="K279" s="32" t="s">
        <v>104</v>
      </c>
    </row>
    <row r="280" spans="1:11" ht="14.5" x14ac:dyDescent="0.35">
      <c r="A280" s="33">
        <v>45758</v>
      </c>
      <c r="B280" s="30" t="s">
        <v>52</v>
      </c>
      <c r="C280" s="31" t="str">
        <f>VLOOKUP(B280,'Kode Data'!$B$3:$C$23,2,0)</f>
        <v>Plastik Kemasan 500 gr</v>
      </c>
      <c r="D280" s="30" t="str">
        <f>VLOOKUP(LEFT(B280,2),'Kode Data'!$E$3:$G$6,3,0)</f>
        <v>Kemasan</v>
      </c>
      <c r="E280" s="31" t="s">
        <v>123</v>
      </c>
      <c r="F280" s="30">
        <v>1200</v>
      </c>
      <c r="G280" s="30">
        <v>0</v>
      </c>
      <c r="H280" s="30">
        <v>6650</v>
      </c>
      <c r="I280" s="30">
        <v>7850</v>
      </c>
      <c r="J280" s="30" t="s">
        <v>80</v>
      </c>
      <c r="K280" s="32" t="s">
        <v>85</v>
      </c>
    </row>
    <row r="281" spans="1:11" ht="14.5" x14ac:dyDescent="0.35">
      <c r="A281" s="29">
        <v>45759</v>
      </c>
      <c r="B281" s="30" t="s">
        <v>34</v>
      </c>
      <c r="C281" s="31" t="str">
        <f>VLOOKUP(B281,'Kode Data'!$B$3:$C$23,2,0)</f>
        <v>Tepung Premix</v>
      </c>
      <c r="D281" s="30" t="str">
        <f>VLOOKUP(LEFT(B281,2),'Kode Data'!$E$3:$G$6,3,0)</f>
        <v>Bahan Tambahan</v>
      </c>
      <c r="E281" s="31" t="s">
        <v>79</v>
      </c>
      <c r="F281" s="30">
        <v>0</v>
      </c>
      <c r="G281" s="30">
        <v>200</v>
      </c>
      <c r="H281" s="30">
        <v>880</v>
      </c>
      <c r="I281" s="30">
        <v>680</v>
      </c>
      <c r="J281" s="30" t="s">
        <v>87</v>
      </c>
      <c r="K281" s="32" t="s">
        <v>104</v>
      </c>
    </row>
    <row r="282" spans="1:11" ht="14.5" x14ac:dyDescent="0.35">
      <c r="A282" s="29">
        <v>45759</v>
      </c>
      <c r="B282" s="30" t="s">
        <v>64</v>
      </c>
      <c r="C282" s="31" t="str">
        <f>VLOOKUP(B282,'Kode Data'!$B$3:$C$23,2,0)</f>
        <v>Tepung Terigu Protein Rendah</v>
      </c>
      <c r="D282" s="30" t="str">
        <f>VLOOKUP(LEFT(B282,2),'Kode Data'!$E$3:$G$6,3,0)</f>
        <v>Produk</v>
      </c>
      <c r="E282" s="31" t="s">
        <v>89</v>
      </c>
      <c r="F282" s="30">
        <v>650</v>
      </c>
      <c r="G282" s="30">
        <v>0</v>
      </c>
      <c r="H282" s="30">
        <v>2300</v>
      </c>
      <c r="I282" s="30">
        <v>2950</v>
      </c>
      <c r="J282" s="30" t="s">
        <v>80</v>
      </c>
      <c r="K282" s="32" t="s">
        <v>81</v>
      </c>
    </row>
    <row r="283" spans="1:11" ht="14.5" x14ac:dyDescent="0.35">
      <c r="A283" s="33">
        <v>45759</v>
      </c>
      <c r="B283" s="30" t="s">
        <v>58</v>
      </c>
      <c r="C283" s="31" t="str">
        <f>VLOOKUP(B283,'Kode Data'!$B$3:$C$23,2,0)</f>
        <v>Pallet Kayu</v>
      </c>
      <c r="D283" s="30" t="str">
        <f>VLOOKUP(LEFT(B283,2),'Kode Data'!$E$3:$G$6,3,0)</f>
        <v>Kemasan</v>
      </c>
      <c r="E283" s="31" t="s">
        <v>122</v>
      </c>
      <c r="F283" s="30">
        <v>0</v>
      </c>
      <c r="G283" s="30">
        <v>50</v>
      </c>
      <c r="H283" s="30">
        <v>230</v>
      </c>
      <c r="I283" s="30">
        <v>180</v>
      </c>
      <c r="J283" s="30" t="s">
        <v>80</v>
      </c>
      <c r="K283" s="32" t="s">
        <v>93</v>
      </c>
    </row>
    <row r="284" spans="1:11" ht="14.5" x14ac:dyDescent="0.35">
      <c r="A284" s="33">
        <v>45759</v>
      </c>
      <c r="B284" s="30" t="s">
        <v>24</v>
      </c>
      <c r="C284" s="31" t="str">
        <f>VLOOKUP(B284,'Kode Data'!$B$3:$C$23,2,0)</f>
        <v>Germ Gandum</v>
      </c>
      <c r="D284" s="30" t="str">
        <f>VLOOKUP(LEFT(B284,2),'Kode Data'!$E$3:$G$6,3,0)</f>
        <v>Bahan Baku</v>
      </c>
      <c r="E284" s="31" t="s">
        <v>79</v>
      </c>
      <c r="F284" s="30">
        <v>0</v>
      </c>
      <c r="G284" s="30">
        <v>210</v>
      </c>
      <c r="H284" s="30">
        <v>1350</v>
      </c>
      <c r="I284" s="30">
        <v>1140</v>
      </c>
      <c r="J284" s="30" t="s">
        <v>87</v>
      </c>
      <c r="K284" s="32" t="s">
        <v>104</v>
      </c>
    </row>
    <row r="285" spans="1:11" ht="14.5" x14ac:dyDescent="0.35">
      <c r="A285" s="29">
        <v>45760</v>
      </c>
      <c r="B285" s="30" t="s">
        <v>26</v>
      </c>
      <c r="C285" s="31" t="str">
        <f>VLOOKUP(B285,'Kode Data'!$B$3:$C$23,2,0)</f>
        <v>Enzim Baking</v>
      </c>
      <c r="D285" s="30" t="str">
        <f>VLOOKUP(LEFT(B285,2),'Kode Data'!$E$3:$G$6,3,0)</f>
        <v>Bahan Tambahan</v>
      </c>
      <c r="E285" s="31" t="s">
        <v>106</v>
      </c>
      <c r="F285" s="30">
        <v>0</v>
      </c>
      <c r="G285" s="30">
        <v>100</v>
      </c>
      <c r="H285" s="30">
        <v>380</v>
      </c>
      <c r="I285" s="30">
        <v>280</v>
      </c>
      <c r="J285" s="30" t="s">
        <v>87</v>
      </c>
      <c r="K285" s="32" t="s">
        <v>104</v>
      </c>
    </row>
    <row r="286" spans="1:11" ht="14.5" x14ac:dyDescent="0.35">
      <c r="A286" s="29">
        <v>45760</v>
      </c>
      <c r="B286" s="30" t="s">
        <v>64</v>
      </c>
      <c r="C286" s="31" t="str">
        <f>VLOOKUP(B286,'Kode Data'!$B$3:$C$23,2,0)</f>
        <v>Tepung Terigu Protein Rendah</v>
      </c>
      <c r="D286" s="30" t="str">
        <f>VLOOKUP(LEFT(B286,2),'Kode Data'!$E$3:$G$6,3,0)</f>
        <v>Produk</v>
      </c>
      <c r="E286" s="31" t="s">
        <v>82</v>
      </c>
      <c r="F286" s="30">
        <v>0</v>
      </c>
      <c r="G286" s="30">
        <v>600</v>
      </c>
      <c r="H286" s="30">
        <v>2950</v>
      </c>
      <c r="I286" s="30">
        <v>2350</v>
      </c>
      <c r="J286" s="30" t="s">
        <v>80</v>
      </c>
      <c r="K286" s="32" t="s">
        <v>90</v>
      </c>
    </row>
    <row r="287" spans="1:11" ht="14.5" x14ac:dyDescent="0.35">
      <c r="A287" s="33">
        <v>45760</v>
      </c>
      <c r="B287" s="30" t="s">
        <v>54</v>
      </c>
      <c r="C287" s="31" t="str">
        <f>VLOOKUP(B287,'Kode Data'!$B$3:$C$23,2,0)</f>
        <v>Karton Box</v>
      </c>
      <c r="D287" s="30" t="str">
        <f>VLOOKUP(LEFT(B287,2),'Kode Data'!$E$3:$G$6,3,0)</f>
        <v>Kemasan</v>
      </c>
      <c r="E287" s="31" t="s">
        <v>109</v>
      </c>
      <c r="F287" s="30">
        <v>0</v>
      </c>
      <c r="G287" s="30">
        <v>450</v>
      </c>
      <c r="H287" s="30">
        <v>8200</v>
      </c>
      <c r="I287" s="30">
        <v>7750</v>
      </c>
      <c r="J287" s="30" t="s">
        <v>80</v>
      </c>
      <c r="K287" s="32" t="s">
        <v>93</v>
      </c>
    </row>
    <row r="288" spans="1:11" ht="14.5" x14ac:dyDescent="0.35">
      <c r="A288" s="29">
        <v>45761</v>
      </c>
      <c r="B288" s="30" t="s">
        <v>30</v>
      </c>
      <c r="C288" s="31" t="str">
        <f>VLOOKUP(B288,'Kode Data'!$B$3:$C$23,2,0)</f>
        <v>Vitamin Fortifikasi</v>
      </c>
      <c r="D288" s="30" t="str">
        <f>VLOOKUP(LEFT(B288,2),'Kode Data'!$E$3:$G$6,3,0)</f>
        <v>Bahan Tambahan</v>
      </c>
      <c r="E288" s="31" t="s">
        <v>112</v>
      </c>
      <c r="F288" s="30">
        <v>0</v>
      </c>
      <c r="G288" s="30">
        <v>95</v>
      </c>
      <c r="H288" s="30">
        <v>510</v>
      </c>
      <c r="I288" s="30">
        <v>415</v>
      </c>
      <c r="J288" s="30" t="s">
        <v>87</v>
      </c>
      <c r="K288" s="32" t="s">
        <v>104</v>
      </c>
    </row>
    <row r="289" spans="1:11" ht="14.5" x14ac:dyDescent="0.35">
      <c r="A289" s="33">
        <v>45761</v>
      </c>
      <c r="B289" s="30" t="s">
        <v>19</v>
      </c>
      <c r="C289" s="31" t="str">
        <f>VLOOKUP(B289,'Kode Data'!$B$3:$C$23,2,0)</f>
        <v>Bran Gandum</v>
      </c>
      <c r="D289" s="30" t="str">
        <f>VLOOKUP(LEFT(B289,2),'Kode Data'!$E$3:$G$6,3,0)</f>
        <v>Bahan Baku</v>
      </c>
      <c r="E289" s="31" t="s">
        <v>98</v>
      </c>
      <c r="F289" s="30">
        <v>0</v>
      </c>
      <c r="G289" s="30">
        <v>200</v>
      </c>
      <c r="H289" s="30">
        <v>1600</v>
      </c>
      <c r="I289" s="30">
        <v>1400</v>
      </c>
      <c r="J289" s="30" t="s">
        <v>87</v>
      </c>
      <c r="K289" s="32" t="s">
        <v>104</v>
      </c>
    </row>
    <row r="290" spans="1:11" ht="14.5" x14ac:dyDescent="0.35">
      <c r="A290" s="33">
        <v>45762</v>
      </c>
      <c r="B290" s="30" t="s">
        <v>9</v>
      </c>
      <c r="C290" s="31" t="str">
        <f>VLOOKUP(B290,'Kode Data'!$B$3:$C$23,2,0)</f>
        <v>Gandum Soft Wheat</v>
      </c>
      <c r="D290" s="30" t="str">
        <f>VLOOKUP(LEFT(B290,2),'Kode Data'!$E$3:$G$6,3,0)</f>
        <v>Bahan Baku</v>
      </c>
      <c r="E290" s="31" t="s">
        <v>89</v>
      </c>
      <c r="F290" s="30">
        <v>300</v>
      </c>
      <c r="G290" s="30">
        <v>0</v>
      </c>
      <c r="H290" s="30">
        <v>1750</v>
      </c>
      <c r="I290" s="30">
        <v>2050</v>
      </c>
      <c r="J290" s="30" t="s">
        <v>87</v>
      </c>
      <c r="K290" s="32" t="s">
        <v>110</v>
      </c>
    </row>
    <row r="291" spans="1:11" ht="14.5" x14ac:dyDescent="0.35">
      <c r="A291" s="33">
        <v>45763</v>
      </c>
      <c r="B291" s="30" t="s">
        <v>4</v>
      </c>
      <c r="C291" s="31" t="str">
        <f>VLOOKUP(B291,'Kode Data'!$B$3:$C$23,2,0)</f>
        <v>Gandum Hard Wheat</v>
      </c>
      <c r="D291" s="30" t="str">
        <f>VLOOKUP(LEFT(B291,2),'Kode Data'!$E$3:$G$6,3,0)</f>
        <v>Bahan Baku</v>
      </c>
      <c r="E291" s="31" t="s">
        <v>89</v>
      </c>
      <c r="F291" s="30">
        <v>550</v>
      </c>
      <c r="G291" s="30">
        <v>0</v>
      </c>
      <c r="H291" s="30">
        <v>1950</v>
      </c>
      <c r="I291" s="30">
        <v>2500</v>
      </c>
      <c r="J291" s="30" t="s">
        <v>87</v>
      </c>
      <c r="K291" s="32" t="s">
        <v>88</v>
      </c>
    </row>
    <row r="292" spans="1:11" ht="14.5" x14ac:dyDescent="0.35">
      <c r="A292" s="29">
        <v>45764</v>
      </c>
      <c r="B292" s="30" t="s">
        <v>42</v>
      </c>
      <c r="C292" s="31" t="str">
        <f>VLOOKUP(B292,'Kode Data'!$B$3:$C$23,2,0)</f>
        <v>Calcium Propionate</v>
      </c>
      <c r="D292" s="30" t="str">
        <f>VLOOKUP(LEFT(B292,2),'Kode Data'!$E$3:$G$6,3,0)</f>
        <v>Bahan Tambahan</v>
      </c>
      <c r="E292" s="31" t="s">
        <v>111</v>
      </c>
      <c r="F292" s="30">
        <v>40</v>
      </c>
      <c r="G292" s="30">
        <v>0</v>
      </c>
      <c r="H292" s="30">
        <v>370</v>
      </c>
      <c r="I292" s="30">
        <v>410</v>
      </c>
      <c r="J292" s="30" t="s">
        <v>87</v>
      </c>
      <c r="K292" s="32" t="s">
        <v>116</v>
      </c>
    </row>
    <row r="293" spans="1:11" ht="14.5" x14ac:dyDescent="0.35">
      <c r="A293" s="29">
        <v>45764</v>
      </c>
      <c r="B293" s="30" t="s">
        <v>62</v>
      </c>
      <c r="C293" s="31" t="str">
        <f>VLOOKUP(B293,'Kode Data'!$B$3:$C$23,2,0)</f>
        <v>Tepung Terigu Serbaguna</v>
      </c>
      <c r="D293" s="30" t="str">
        <f>VLOOKUP(LEFT(B293,2),'Kode Data'!$E$3:$G$6,3,0)</f>
        <v>Produk</v>
      </c>
      <c r="E293" s="31" t="s">
        <v>89</v>
      </c>
      <c r="F293" s="30">
        <v>500</v>
      </c>
      <c r="G293" s="30">
        <v>0</v>
      </c>
      <c r="H293" s="30">
        <v>1000</v>
      </c>
      <c r="I293" s="30">
        <v>1500</v>
      </c>
      <c r="J293" s="30" t="s">
        <v>80</v>
      </c>
      <c r="K293" s="32" t="s">
        <v>81</v>
      </c>
    </row>
    <row r="294" spans="1:11" ht="14.5" x14ac:dyDescent="0.35">
      <c r="A294" s="29">
        <v>45764</v>
      </c>
      <c r="B294" s="30" t="s">
        <v>66</v>
      </c>
      <c r="C294" s="31" t="str">
        <f>VLOOKUP(B294,'Kode Data'!$B$3:$C$23,2,0)</f>
        <v>Tepung Terigu Khusus Roti</v>
      </c>
      <c r="D294" s="30" t="str">
        <f>VLOOKUP(LEFT(B294,2),'Kode Data'!$E$3:$G$6,3,0)</f>
        <v>Produk</v>
      </c>
      <c r="E294" s="31" t="s">
        <v>89</v>
      </c>
      <c r="F294" s="30">
        <v>0</v>
      </c>
      <c r="G294" s="30">
        <v>400</v>
      </c>
      <c r="H294" s="30">
        <v>1800</v>
      </c>
      <c r="I294" s="30">
        <v>1400</v>
      </c>
      <c r="J294" s="30" t="s">
        <v>80</v>
      </c>
      <c r="K294" s="32" t="s">
        <v>90</v>
      </c>
    </row>
    <row r="295" spans="1:11" ht="14.5" x14ac:dyDescent="0.35">
      <c r="A295" s="33">
        <v>45764</v>
      </c>
      <c r="B295" s="30" t="s">
        <v>24</v>
      </c>
      <c r="C295" s="31" t="str">
        <f>VLOOKUP(B295,'Kode Data'!$B$3:$C$23,2,0)</f>
        <v>Germ Gandum</v>
      </c>
      <c r="D295" s="30" t="str">
        <f>VLOOKUP(LEFT(B295,2),'Kode Data'!$E$3:$G$6,3,0)</f>
        <v>Bahan Baku</v>
      </c>
      <c r="E295" s="31" t="s">
        <v>89</v>
      </c>
      <c r="F295" s="30">
        <v>250</v>
      </c>
      <c r="G295" s="30">
        <v>0</v>
      </c>
      <c r="H295" s="30">
        <v>1140</v>
      </c>
      <c r="I295" s="30">
        <v>1390</v>
      </c>
      <c r="J295" s="30" t="s">
        <v>87</v>
      </c>
      <c r="K295" s="32" t="s">
        <v>110</v>
      </c>
    </row>
    <row r="296" spans="1:11" ht="14.5" x14ac:dyDescent="0.35">
      <c r="A296" s="33">
        <v>45765</v>
      </c>
      <c r="B296" s="30" t="s">
        <v>56</v>
      </c>
      <c r="C296" s="31" t="str">
        <f>VLOOKUP(B296,'Kode Data'!$B$3:$C$23,2,0)</f>
        <v>Label Produk</v>
      </c>
      <c r="D296" s="30" t="str">
        <f>VLOOKUP(LEFT(B296,2),'Kode Data'!$E$3:$G$6,3,0)</f>
        <v>Kemasan</v>
      </c>
      <c r="E296" s="31" t="s">
        <v>120</v>
      </c>
      <c r="F296" s="30">
        <v>300</v>
      </c>
      <c r="G296" s="30">
        <v>0</v>
      </c>
      <c r="H296" s="30">
        <v>1750</v>
      </c>
      <c r="I296" s="30">
        <v>2050</v>
      </c>
      <c r="J296" s="30" t="s">
        <v>80</v>
      </c>
      <c r="K296" s="32" t="s">
        <v>85</v>
      </c>
    </row>
    <row r="297" spans="1:11" ht="14.5" x14ac:dyDescent="0.35">
      <c r="A297" s="29">
        <v>45766</v>
      </c>
      <c r="B297" s="30" t="s">
        <v>60</v>
      </c>
      <c r="C297" s="31" t="str">
        <f>VLOOKUP(B297,'Kode Data'!$B$3:$C$23,2,0)</f>
        <v>Tepung Terigu Protein Tinggi</v>
      </c>
      <c r="D297" s="30" t="str">
        <f>VLOOKUP(LEFT(B297,2),'Kode Data'!$E$3:$G$6,3,0)</f>
        <v>Produk</v>
      </c>
      <c r="E297" s="31" t="s">
        <v>113</v>
      </c>
      <c r="F297" s="30">
        <v>600</v>
      </c>
      <c r="G297" s="30">
        <v>0</v>
      </c>
      <c r="H297" s="30">
        <v>1000</v>
      </c>
      <c r="I297" s="30">
        <v>1600</v>
      </c>
      <c r="J297" s="30" t="s">
        <v>80</v>
      </c>
      <c r="K297" s="32" t="s">
        <v>81</v>
      </c>
    </row>
    <row r="298" spans="1:11" ht="14.5" x14ac:dyDescent="0.35">
      <c r="A298" s="29">
        <v>45766</v>
      </c>
      <c r="B298" s="30" t="s">
        <v>66</v>
      </c>
      <c r="C298" s="31" t="str">
        <f>VLOOKUP(B298,'Kode Data'!$B$3:$C$23,2,0)</f>
        <v>Tepung Terigu Khusus Roti</v>
      </c>
      <c r="D298" s="30" t="str">
        <f>VLOOKUP(LEFT(B298,2),'Kode Data'!$E$3:$G$6,3,0)</f>
        <v>Produk</v>
      </c>
      <c r="E298" s="31" t="s">
        <v>79</v>
      </c>
      <c r="F298" s="30">
        <v>450</v>
      </c>
      <c r="G298" s="30">
        <v>0</v>
      </c>
      <c r="H298" s="30">
        <v>1400</v>
      </c>
      <c r="I298" s="30">
        <v>1850</v>
      </c>
      <c r="J298" s="30" t="s">
        <v>80</v>
      </c>
      <c r="K298" s="32" t="s">
        <v>81</v>
      </c>
    </row>
    <row r="299" spans="1:11" ht="14.5" x14ac:dyDescent="0.35">
      <c r="A299" s="33">
        <v>45766</v>
      </c>
      <c r="B299" s="30" t="s">
        <v>58</v>
      </c>
      <c r="C299" s="31" t="str">
        <f>VLOOKUP(B299,'Kode Data'!$B$3:$C$23,2,0)</f>
        <v>Pallet Kayu</v>
      </c>
      <c r="D299" s="30" t="str">
        <f>VLOOKUP(LEFT(B299,2),'Kode Data'!$E$3:$G$6,3,0)</f>
        <v>Kemasan</v>
      </c>
      <c r="E299" s="31" t="s">
        <v>105</v>
      </c>
      <c r="F299" s="30">
        <v>40</v>
      </c>
      <c r="G299" s="30">
        <v>0</v>
      </c>
      <c r="H299" s="30">
        <v>180</v>
      </c>
      <c r="I299" s="30">
        <v>220</v>
      </c>
      <c r="J299" s="30" t="s">
        <v>80</v>
      </c>
      <c r="K299" s="32" t="s">
        <v>85</v>
      </c>
    </row>
    <row r="300" spans="1:11" ht="14.5" x14ac:dyDescent="0.35">
      <c r="A300" s="29">
        <v>45767</v>
      </c>
      <c r="B300" s="30" t="s">
        <v>34</v>
      </c>
      <c r="C300" s="31" t="str">
        <f>VLOOKUP(B300,'Kode Data'!$B$3:$C$23,2,0)</f>
        <v>Tepung Premix</v>
      </c>
      <c r="D300" s="30" t="str">
        <f>VLOOKUP(LEFT(B300,2),'Kode Data'!$E$3:$G$6,3,0)</f>
        <v>Bahan Tambahan</v>
      </c>
      <c r="E300" s="31" t="s">
        <v>89</v>
      </c>
      <c r="F300" s="30">
        <v>210</v>
      </c>
      <c r="G300" s="30">
        <v>0</v>
      </c>
      <c r="H300" s="30">
        <v>680</v>
      </c>
      <c r="I300" s="30">
        <v>890</v>
      </c>
      <c r="J300" s="30" t="s">
        <v>87</v>
      </c>
      <c r="K300" s="32" t="s">
        <v>96</v>
      </c>
    </row>
    <row r="301" spans="1:11" ht="14.5" x14ac:dyDescent="0.35">
      <c r="A301" s="33">
        <v>45767</v>
      </c>
      <c r="B301" s="30" t="s">
        <v>14</v>
      </c>
      <c r="C301" s="31" t="str">
        <f>VLOOKUP(B301,'Kode Data'!$B$3:$C$23,2,0)</f>
        <v>Gandum Durum</v>
      </c>
      <c r="D301" s="30" t="str">
        <f>VLOOKUP(LEFT(B301,2),'Kode Data'!$E$3:$G$6,3,0)</f>
        <v>Bahan Baku</v>
      </c>
      <c r="E301" s="31" t="s">
        <v>98</v>
      </c>
      <c r="F301" s="30">
        <v>320</v>
      </c>
      <c r="G301" s="30">
        <v>0</v>
      </c>
      <c r="H301" s="30">
        <v>1370</v>
      </c>
      <c r="I301" s="30">
        <v>1690</v>
      </c>
      <c r="J301" s="30" t="s">
        <v>87</v>
      </c>
      <c r="K301" s="32" t="s">
        <v>88</v>
      </c>
    </row>
    <row r="302" spans="1:11" ht="14.5" x14ac:dyDescent="0.35">
      <c r="A302" s="29">
        <v>45768</v>
      </c>
      <c r="B302" s="30" t="s">
        <v>26</v>
      </c>
      <c r="C302" s="31" t="str">
        <f>VLOOKUP(B302,'Kode Data'!$B$3:$C$23,2,0)</f>
        <v>Enzim Baking</v>
      </c>
      <c r="D302" s="30" t="str">
        <f>VLOOKUP(LEFT(B302,2),'Kode Data'!$E$3:$G$6,3,0)</f>
        <v>Bahan Tambahan</v>
      </c>
      <c r="E302" s="31" t="s">
        <v>115</v>
      </c>
      <c r="F302" s="30">
        <v>95</v>
      </c>
      <c r="G302" s="30">
        <v>0</v>
      </c>
      <c r="H302" s="30">
        <v>280</v>
      </c>
      <c r="I302" s="30">
        <v>375</v>
      </c>
      <c r="J302" s="30" t="s">
        <v>87</v>
      </c>
      <c r="K302" s="32" t="s">
        <v>116</v>
      </c>
    </row>
    <row r="303" spans="1:11" ht="14.5" x14ac:dyDescent="0.35">
      <c r="A303" s="29">
        <v>45768</v>
      </c>
      <c r="B303" s="30" t="s">
        <v>30</v>
      </c>
      <c r="C303" s="31" t="str">
        <f>VLOOKUP(B303,'Kode Data'!$B$3:$C$23,2,0)</f>
        <v>Vitamin Fortifikasi</v>
      </c>
      <c r="D303" s="30" t="str">
        <f>VLOOKUP(LEFT(B303,2),'Kode Data'!$E$3:$G$6,3,0)</f>
        <v>Bahan Tambahan</v>
      </c>
      <c r="E303" s="31" t="s">
        <v>119</v>
      </c>
      <c r="F303" s="30">
        <v>140</v>
      </c>
      <c r="G303" s="30">
        <v>0</v>
      </c>
      <c r="H303" s="30">
        <v>415</v>
      </c>
      <c r="I303" s="30">
        <v>555</v>
      </c>
      <c r="J303" s="30" t="s">
        <v>87</v>
      </c>
      <c r="K303" s="32" t="s">
        <v>116</v>
      </c>
    </row>
    <row r="304" spans="1:11" ht="14.5" x14ac:dyDescent="0.35">
      <c r="A304" s="29">
        <v>45768</v>
      </c>
      <c r="B304" s="30" t="s">
        <v>38</v>
      </c>
      <c r="C304" s="31" t="str">
        <f>VLOOKUP(B304,'Kode Data'!$B$3:$C$23,2,0)</f>
        <v>Improver Tepung</v>
      </c>
      <c r="D304" s="30" t="str">
        <f>VLOOKUP(LEFT(B304,2),'Kode Data'!$E$3:$G$6,3,0)</f>
        <v>Bahan Tambahan</v>
      </c>
      <c r="E304" s="31" t="s">
        <v>117</v>
      </c>
      <c r="F304" s="30">
        <v>120</v>
      </c>
      <c r="G304" s="30">
        <v>0</v>
      </c>
      <c r="H304" s="30">
        <v>410</v>
      </c>
      <c r="I304" s="30">
        <v>530</v>
      </c>
      <c r="J304" s="30" t="s">
        <v>87</v>
      </c>
      <c r="K304" s="32" t="s">
        <v>116</v>
      </c>
    </row>
    <row r="305" spans="1:11" ht="14.5" x14ac:dyDescent="0.35">
      <c r="A305" s="29">
        <v>45768</v>
      </c>
      <c r="B305" s="30" t="s">
        <v>68</v>
      </c>
      <c r="C305" s="31" t="str">
        <f>VLOOKUP(B305,'Kode Data'!$B$3:$C$23,2,0)</f>
        <v>Tepung Terigu Khusus Kue</v>
      </c>
      <c r="D305" s="30" t="str">
        <f>VLOOKUP(LEFT(B305,2),'Kode Data'!$E$3:$G$6,3,0)</f>
        <v>Produk</v>
      </c>
      <c r="E305" s="31" t="s">
        <v>91</v>
      </c>
      <c r="F305" s="30">
        <v>0</v>
      </c>
      <c r="G305" s="30">
        <v>450</v>
      </c>
      <c r="H305" s="30">
        <v>2500</v>
      </c>
      <c r="I305" s="30">
        <v>2050</v>
      </c>
      <c r="J305" s="30" t="s">
        <v>80</v>
      </c>
      <c r="K305" s="32" t="s">
        <v>90</v>
      </c>
    </row>
    <row r="306" spans="1:11" ht="14.5" x14ac:dyDescent="0.35">
      <c r="A306" s="33">
        <v>45768</v>
      </c>
      <c r="B306" s="30" t="s">
        <v>54</v>
      </c>
      <c r="C306" s="31" t="str">
        <f>VLOOKUP(B306,'Kode Data'!$B$3:$C$23,2,0)</f>
        <v>Karton Box</v>
      </c>
      <c r="D306" s="30" t="str">
        <f>VLOOKUP(LEFT(B306,2),'Kode Data'!$E$3:$G$6,3,0)</f>
        <v>Kemasan</v>
      </c>
      <c r="E306" s="31" t="s">
        <v>114</v>
      </c>
      <c r="F306" s="30">
        <v>500</v>
      </c>
      <c r="G306" s="30">
        <v>0</v>
      </c>
      <c r="H306" s="30">
        <v>7750</v>
      </c>
      <c r="I306" s="30">
        <v>8250</v>
      </c>
      <c r="J306" s="30" t="s">
        <v>80</v>
      </c>
      <c r="K306" s="32" t="s">
        <v>85</v>
      </c>
    </row>
    <row r="307" spans="1:11" ht="14.5" x14ac:dyDescent="0.35">
      <c r="A307" s="33">
        <v>45768</v>
      </c>
      <c r="B307" s="30" t="s">
        <v>19</v>
      </c>
      <c r="C307" s="31" t="str">
        <f>VLOOKUP(B307,'Kode Data'!$B$3:$C$23,2,0)</f>
        <v>Bran Gandum</v>
      </c>
      <c r="D307" s="30" t="str">
        <f>VLOOKUP(LEFT(B307,2),'Kode Data'!$E$3:$G$6,3,0)</f>
        <v>Bahan Baku</v>
      </c>
      <c r="E307" s="31" t="s">
        <v>118</v>
      </c>
      <c r="F307" s="30">
        <v>350</v>
      </c>
      <c r="G307" s="30">
        <v>0</v>
      </c>
      <c r="H307" s="30">
        <v>1400</v>
      </c>
      <c r="I307" s="30">
        <v>1750</v>
      </c>
      <c r="J307" s="30" t="s">
        <v>87</v>
      </c>
      <c r="K307" s="32" t="s">
        <v>110</v>
      </c>
    </row>
    <row r="308" spans="1:11" ht="14.5" x14ac:dyDescent="0.35">
      <c r="A308" s="29">
        <v>45770</v>
      </c>
      <c r="B308" s="30" t="s">
        <v>42</v>
      </c>
      <c r="C308" s="31" t="str">
        <f>VLOOKUP(B308,'Kode Data'!$B$3:$C$23,2,0)</f>
        <v>Calcium Propionate</v>
      </c>
      <c r="D308" s="30" t="str">
        <f>VLOOKUP(LEFT(B308,2),'Kode Data'!$E$3:$G$6,3,0)</f>
        <v>Bahan Tambahan</v>
      </c>
      <c r="E308" s="31" t="s">
        <v>121</v>
      </c>
      <c r="F308" s="30">
        <v>0</v>
      </c>
      <c r="G308" s="30">
        <v>25</v>
      </c>
      <c r="H308" s="30">
        <v>410</v>
      </c>
      <c r="I308" s="30">
        <v>385</v>
      </c>
      <c r="J308" s="30" t="s">
        <v>87</v>
      </c>
      <c r="K308" s="32" t="s">
        <v>104</v>
      </c>
    </row>
    <row r="309" spans="1:11" ht="14.5" x14ac:dyDescent="0.35">
      <c r="A309" s="29">
        <v>45770</v>
      </c>
      <c r="B309" s="30" t="s">
        <v>68</v>
      </c>
      <c r="C309" s="31" t="str">
        <f>VLOOKUP(B309,'Kode Data'!$B$3:$C$23,2,0)</f>
        <v>Tepung Terigu Khusus Kue</v>
      </c>
      <c r="D309" s="30" t="str">
        <f>VLOOKUP(LEFT(B309,2),'Kode Data'!$E$3:$G$6,3,0)</f>
        <v>Produk</v>
      </c>
      <c r="E309" s="31" t="s">
        <v>89</v>
      </c>
      <c r="F309" s="30">
        <v>500</v>
      </c>
      <c r="G309" s="30">
        <v>0</v>
      </c>
      <c r="H309" s="30">
        <v>2050</v>
      </c>
      <c r="I309" s="30">
        <v>2550</v>
      </c>
      <c r="J309" s="30" t="s">
        <v>80</v>
      </c>
      <c r="K309" s="32" t="s">
        <v>81</v>
      </c>
    </row>
    <row r="310" spans="1:11" ht="14.5" x14ac:dyDescent="0.35">
      <c r="A310" s="33">
        <v>45770</v>
      </c>
      <c r="B310" s="30" t="s">
        <v>4</v>
      </c>
      <c r="C310" s="31" t="str">
        <f>VLOOKUP(B310,'Kode Data'!$B$3:$C$23,2,0)</f>
        <v>Gandum Hard Wheat</v>
      </c>
      <c r="D310" s="30" t="str">
        <f>VLOOKUP(LEFT(B310,2),'Kode Data'!$E$3:$G$6,3,0)</f>
        <v>Bahan Baku</v>
      </c>
      <c r="E310" s="31" t="s">
        <v>79</v>
      </c>
      <c r="F310" s="30">
        <v>0</v>
      </c>
      <c r="G310" s="30">
        <v>450</v>
      </c>
      <c r="H310" s="30">
        <v>2500</v>
      </c>
      <c r="I310" s="30">
        <v>2050</v>
      </c>
      <c r="J310" s="30" t="s">
        <v>87</v>
      </c>
      <c r="K310" s="32" t="s">
        <v>104</v>
      </c>
    </row>
    <row r="311" spans="1:11" ht="14.5" x14ac:dyDescent="0.35">
      <c r="A311" s="29">
        <v>45771</v>
      </c>
      <c r="B311" s="30" t="s">
        <v>68</v>
      </c>
      <c r="C311" s="31" t="str">
        <f>VLOOKUP(B311,'Kode Data'!$B$3:$C$23,2,0)</f>
        <v>Tepung Terigu Khusus Kue</v>
      </c>
      <c r="D311" s="30" t="str">
        <f>VLOOKUP(LEFT(B311,2),'Kode Data'!$E$3:$G$6,3,0)</f>
        <v>Produk</v>
      </c>
      <c r="E311" s="31" t="s">
        <v>83</v>
      </c>
      <c r="F311" s="30">
        <v>0</v>
      </c>
      <c r="G311" s="30">
        <v>400</v>
      </c>
      <c r="H311" s="30">
        <v>2550</v>
      </c>
      <c r="I311" s="30">
        <v>2150</v>
      </c>
      <c r="J311" s="30" t="s">
        <v>80</v>
      </c>
      <c r="K311" s="32" t="s">
        <v>90</v>
      </c>
    </row>
    <row r="312" spans="1:11" ht="14.5" x14ac:dyDescent="0.35">
      <c r="A312" s="33">
        <v>45771</v>
      </c>
      <c r="B312" s="30" t="s">
        <v>24</v>
      </c>
      <c r="C312" s="31" t="str">
        <f>VLOOKUP(B312,'Kode Data'!$B$3:$C$23,2,0)</f>
        <v>Germ Gandum</v>
      </c>
      <c r="D312" s="30" t="str">
        <f>VLOOKUP(LEFT(B312,2),'Kode Data'!$E$3:$G$6,3,0)</f>
        <v>Bahan Baku</v>
      </c>
      <c r="E312" s="31" t="s">
        <v>89</v>
      </c>
      <c r="F312" s="30">
        <v>0</v>
      </c>
      <c r="G312" s="30">
        <v>180</v>
      </c>
      <c r="H312" s="30">
        <v>1390</v>
      </c>
      <c r="I312" s="30">
        <v>1210</v>
      </c>
      <c r="J312" s="30" t="s">
        <v>87</v>
      </c>
      <c r="K312" s="32" t="s">
        <v>104</v>
      </c>
    </row>
    <row r="313" spans="1:11" ht="14.5" x14ac:dyDescent="0.35">
      <c r="A313" s="33">
        <v>45773</v>
      </c>
      <c r="B313" s="30" t="s">
        <v>56</v>
      </c>
      <c r="C313" s="31" t="str">
        <f>VLOOKUP(B313,'Kode Data'!$B$3:$C$23,2,0)</f>
        <v>Label Produk</v>
      </c>
      <c r="D313" s="30" t="str">
        <f>VLOOKUP(LEFT(B313,2),'Kode Data'!$E$3:$G$6,3,0)</f>
        <v>Kemasan</v>
      </c>
      <c r="E313" s="31" t="s">
        <v>120</v>
      </c>
      <c r="F313" s="30">
        <v>0</v>
      </c>
      <c r="G313" s="30">
        <v>400</v>
      </c>
      <c r="H313" s="30">
        <v>2050</v>
      </c>
      <c r="I313" s="30">
        <v>1650</v>
      </c>
      <c r="J313" s="30" t="s">
        <v>80</v>
      </c>
      <c r="K313" s="32" t="s">
        <v>93</v>
      </c>
    </row>
    <row r="314" spans="1:11" ht="14.5" x14ac:dyDescent="0.35">
      <c r="A314" s="29">
        <v>45774</v>
      </c>
      <c r="B314" s="30" t="s">
        <v>34</v>
      </c>
      <c r="C314" s="31" t="str">
        <f>VLOOKUP(B314,'Kode Data'!$B$3:$C$23,2,0)</f>
        <v>Tepung Premix</v>
      </c>
      <c r="D314" s="30" t="str">
        <f>VLOOKUP(LEFT(B314,2),'Kode Data'!$E$3:$G$6,3,0)</f>
        <v>Bahan Tambahan</v>
      </c>
      <c r="E314" s="31" t="s">
        <v>82</v>
      </c>
      <c r="F314" s="30">
        <v>0</v>
      </c>
      <c r="G314" s="30">
        <v>160</v>
      </c>
      <c r="H314" s="30">
        <v>890</v>
      </c>
      <c r="I314" s="30">
        <v>730</v>
      </c>
      <c r="J314" s="30" t="s">
        <v>87</v>
      </c>
      <c r="K314" s="32" t="s">
        <v>104</v>
      </c>
    </row>
    <row r="315" spans="1:11" ht="14.5" x14ac:dyDescent="0.35">
      <c r="A315" s="29">
        <v>45774</v>
      </c>
      <c r="B315" s="30" t="s">
        <v>46</v>
      </c>
      <c r="C315" s="31" t="str">
        <f>VLOOKUP(B315,'Kode Data'!$B$3:$C$23,2,0)</f>
        <v>Karung Kemasan 25 Kg</v>
      </c>
      <c r="D315" s="30" t="str">
        <f>VLOOKUP(LEFT(B315,2),'Kode Data'!$E$3:$G$6,3,0)</f>
        <v>Kemasan</v>
      </c>
      <c r="E315" s="31" t="s">
        <v>84</v>
      </c>
      <c r="F315" s="30">
        <v>500</v>
      </c>
      <c r="G315" s="30">
        <v>0</v>
      </c>
      <c r="H315" s="30">
        <v>2050</v>
      </c>
      <c r="I315" s="30">
        <v>2550</v>
      </c>
      <c r="J315" s="30" t="s">
        <v>80</v>
      </c>
      <c r="K315" s="32" t="s">
        <v>85</v>
      </c>
    </row>
    <row r="316" spans="1:11" ht="14.5" x14ac:dyDescent="0.35">
      <c r="A316" s="29">
        <v>45774</v>
      </c>
      <c r="B316" s="30" t="s">
        <v>50</v>
      </c>
      <c r="C316" s="31" t="str">
        <f>VLOOKUP(B316,'Kode Data'!$B$3:$C$23,2,0)</f>
        <v>Plastik Kemasan 1 Kg</v>
      </c>
      <c r="D316" s="30" t="str">
        <f>VLOOKUP(LEFT(B316,2),'Kode Data'!$E$3:$G$6,3,0)</f>
        <v>Kemasan</v>
      </c>
      <c r="E316" s="31" t="s">
        <v>92</v>
      </c>
      <c r="F316" s="30">
        <v>0</v>
      </c>
      <c r="G316" s="30">
        <v>600</v>
      </c>
      <c r="H316" s="30">
        <v>8900</v>
      </c>
      <c r="I316" s="30">
        <v>8300</v>
      </c>
      <c r="J316" s="30" t="s">
        <v>80</v>
      </c>
      <c r="K316" s="32" t="s">
        <v>93</v>
      </c>
    </row>
    <row r="317" spans="1:11" ht="14.5" x14ac:dyDescent="0.35">
      <c r="A317" s="33">
        <v>45774</v>
      </c>
      <c r="B317" s="30" t="s">
        <v>58</v>
      </c>
      <c r="C317" s="31" t="str">
        <f>VLOOKUP(B317,'Kode Data'!$B$3:$C$23,2,0)</f>
        <v>Pallet Kayu</v>
      </c>
      <c r="D317" s="30" t="str">
        <f>VLOOKUP(LEFT(B317,2),'Kode Data'!$E$3:$G$6,3,0)</f>
        <v>Kemasan</v>
      </c>
      <c r="E317" s="31" t="s">
        <v>94</v>
      </c>
      <c r="F317" s="30">
        <v>0</v>
      </c>
      <c r="G317" s="30">
        <v>30</v>
      </c>
      <c r="H317" s="30">
        <v>220</v>
      </c>
      <c r="I317" s="30">
        <v>190</v>
      </c>
      <c r="J317" s="30" t="s">
        <v>80</v>
      </c>
      <c r="K317" s="32" t="s">
        <v>93</v>
      </c>
    </row>
    <row r="318" spans="1:11" ht="14.5" x14ac:dyDescent="0.35">
      <c r="A318" s="33">
        <v>45774</v>
      </c>
      <c r="B318" s="30" t="s">
        <v>9</v>
      </c>
      <c r="C318" s="31" t="str">
        <f>VLOOKUP(B318,'Kode Data'!$B$3:$C$23,2,0)</f>
        <v>Gandum Soft Wheat</v>
      </c>
      <c r="D318" s="30" t="str">
        <f>VLOOKUP(LEFT(B318,2),'Kode Data'!$E$3:$G$6,3,0)</f>
        <v>Bahan Baku</v>
      </c>
      <c r="E318" s="31" t="s">
        <v>79</v>
      </c>
      <c r="F318" s="30">
        <v>0</v>
      </c>
      <c r="G318" s="30">
        <v>250</v>
      </c>
      <c r="H318" s="30">
        <v>2050</v>
      </c>
      <c r="I318" s="30">
        <v>1800</v>
      </c>
      <c r="J318" s="30" t="s">
        <v>87</v>
      </c>
      <c r="K318" s="32" t="s">
        <v>104</v>
      </c>
    </row>
    <row r="319" spans="1:11" ht="14.5" x14ac:dyDescent="0.35">
      <c r="A319" s="29">
        <v>45775</v>
      </c>
      <c r="B319" s="30" t="s">
        <v>60</v>
      </c>
      <c r="C319" s="31" t="str">
        <f>VLOOKUP(B319,'Kode Data'!$B$3:$C$23,2,0)</f>
        <v>Tepung Terigu Protein Tinggi</v>
      </c>
      <c r="D319" s="30" t="str">
        <f>VLOOKUP(LEFT(B319,2),'Kode Data'!$E$3:$G$6,3,0)</f>
        <v>Produk</v>
      </c>
      <c r="E319" s="31" t="s">
        <v>102</v>
      </c>
      <c r="F319" s="30">
        <v>0</v>
      </c>
      <c r="G319" s="30">
        <v>500</v>
      </c>
      <c r="H319" s="30">
        <v>1600</v>
      </c>
      <c r="I319" s="30">
        <v>1100</v>
      </c>
      <c r="J319" s="30" t="s">
        <v>80</v>
      </c>
      <c r="K319" s="32" t="s">
        <v>90</v>
      </c>
    </row>
    <row r="320" spans="1:11" ht="14.5" x14ac:dyDescent="0.35">
      <c r="A320" s="29">
        <v>45775</v>
      </c>
      <c r="B320" s="30" t="s">
        <v>62</v>
      </c>
      <c r="C320" s="31" t="str">
        <f>VLOOKUP(B320,'Kode Data'!$B$3:$C$23,2,0)</f>
        <v>Tepung Terigu Serbaguna</v>
      </c>
      <c r="D320" s="30" t="str">
        <f>VLOOKUP(LEFT(B320,2),'Kode Data'!$E$3:$G$6,3,0)</f>
        <v>Produk</v>
      </c>
      <c r="E320" s="31" t="s">
        <v>82</v>
      </c>
      <c r="F320" s="30">
        <v>0</v>
      </c>
      <c r="G320" s="30">
        <v>400</v>
      </c>
      <c r="H320" s="30">
        <v>1500</v>
      </c>
      <c r="I320" s="30">
        <v>1100</v>
      </c>
      <c r="J320" s="30" t="s">
        <v>80</v>
      </c>
      <c r="K320" s="32" t="s">
        <v>90</v>
      </c>
    </row>
    <row r="321" spans="1:11" ht="14.5" x14ac:dyDescent="0.35">
      <c r="A321" s="33">
        <v>45775</v>
      </c>
      <c r="B321" s="30" t="s">
        <v>14</v>
      </c>
      <c r="C321" s="31" t="str">
        <f>VLOOKUP(B321,'Kode Data'!$B$3:$C$23,2,0)</f>
        <v>Gandum Durum</v>
      </c>
      <c r="D321" s="30" t="str">
        <f>VLOOKUP(LEFT(B321,2),'Kode Data'!$E$3:$G$6,3,0)</f>
        <v>Bahan Baku</v>
      </c>
      <c r="E321" s="31" t="s">
        <v>89</v>
      </c>
      <c r="F321" s="30">
        <v>0</v>
      </c>
      <c r="G321" s="30">
        <v>300</v>
      </c>
      <c r="H321" s="30">
        <v>1690</v>
      </c>
      <c r="I321" s="30">
        <v>1390</v>
      </c>
      <c r="J321" s="30" t="s">
        <v>87</v>
      </c>
      <c r="K321" s="32" t="s">
        <v>104</v>
      </c>
    </row>
    <row r="322" spans="1:11" ht="14.5" x14ac:dyDescent="0.35">
      <c r="A322" s="29">
        <v>45776</v>
      </c>
      <c r="B322" s="30" t="s">
        <v>26</v>
      </c>
      <c r="C322" s="31" t="str">
        <f>VLOOKUP(B322,'Kode Data'!$B$3:$C$23,2,0)</f>
        <v>Enzim Baking</v>
      </c>
      <c r="D322" s="30" t="str">
        <f>VLOOKUP(LEFT(B322,2),'Kode Data'!$E$3:$G$6,3,0)</f>
        <v>Bahan Tambahan</v>
      </c>
      <c r="E322" s="31" t="s">
        <v>100</v>
      </c>
      <c r="F322" s="30">
        <v>0</v>
      </c>
      <c r="G322" s="30">
        <v>110</v>
      </c>
      <c r="H322" s="30">
        <v>375</v>
      </c>
      <c r="I322" s="30">
        <v>265</v>
      </c>
      <c r="J322" s="30" t="s">
        <v>87</v>
      </c>
      <c r="K322" s="32" t="s">
        <v>104</v>
      </c>
    </row>
    <row r="323" spans="1:11" ht="14.5" x14ac:dyDescent="0.35">
      <c r="A323" s="29">
        <v>45776</v>
      </c>
      <c r="B323" s="30" t="s">
        <v>38</v>
      </c>
      <c r="C323" s="31" t="str">
        <f>VLOOKUP(B323,'Kode Data'!$B$3:$C$23,2,0)</f>
        <v>Improver Tepung</v>
      </c>
      <c r="D323" s="30" t="str">
        <f>VLOOKUP(LEFT(B323,2),'Kode Data'!$E$3:$G$6,3,0)</f>
        <v>Bahan Tambahan</v>
      </c>
      <c r="E323" s="31" t="s">
        <v>95</v>
      </c>
      <c r="F323" s="30">
        <v>0</v>
      </c>
      <c r="G323" s="30">
        <v>150</v>
      </c>
      <c r="H323" s="30">
        <v>530</v>
      </c>
      <c r="I323" s="30">
        <v>380</v>
      </c>
      <c r="J323" s="30" t="s">
        <v>87</v>
      </c>
      <c r="K323" s="32" t="s">
        <v>104</v>
      </c>
    </row>
    <row r="324" spans="1:11" ht="14.5" x14ac:dyDescent="0.35">
      <c r="A324" s="29">
        <v>45776</v>
      </c>
      <c r="B324" s="30" t="s">
        <v>46</v>
      </c>
      <c r="C324" s="31" t="str">
        <f>VLOOKUP(B324,'Kode Data'!$B$3:$C$23,2,0)</f>
        <v>Karung Kemasan 25 Kg</v>
      </c>
      <c r="D324" s="30" t="str">
        <f>VLOOKUP(LEFT(B324,2),'Kode Data'!$E$3:$G$6,3,0)</f>
        <v>Kemasan</v>
      </c>
      <c r="E324" s="31" t="s">
        <v>86</v>
      </c>
      <c r="F324" s="30">
        <v>0</v>
      </c>
      <c r="G324" s="30">
        <v>250</v>
      </c>
      <c r="H324" s="30">
        <v>2550</v>
      </c>
      <c r="I324" s="30">
        <v>2300</v>
      </c>
      <c r="J324" s="30" t="s">
        <v>80</v>
      </c>
      <c r="K324" s="32" t="s">
        <v>93</v>
      </c>
    </row>
    <row r="325" spans="1:11" ht="14.5" x14ac:dyDescent="0.35">
      <c r="A325" s="29">
        <v>45776</v>
      </c>
      <c r="B325" s="30" t="s">
        <v>50</v>
      </c>
      <c r="C325" s="31" t="str">
        <f>VLOOKUP(B325,'Kode Data'!$B$3:$C$23,2,0)</f>
        <v>Plastik Kemasan 1 Kg</v>
      </c>
      <c r="D325" s="30" t="str">
        <f>VLOOKUP(LEFT(B325,2),'Kode Data'!$E$3:$G$6,3,0)</f>
        <v>Kemasan</v>
      </c>
      <c r="E325" s="31" t="s">
        <v>99</v>
      </c>
      <c r="F325" s="30">
        <v>1000</v>
      </c>
      <c r="G325" s="30">
        <v>0</v>
      </c>
      <c r="H325" s="30">
        <v>8300</v>
      </c>
      <c r="I325" s="30">
        <v>9300</v>
      </c>
      <c r="J325" s="30" t="s">
        <v>80</v>
      </c>
      <c r="K325" s="32" t="s">
        <v>85</v>
      </c>
    </row>
    <row r="326" spans="1:11" ht="14.5" x14ac:dyDescent="0.35">
      <c r="A326" s="33">
        <v>45776</v>
      </c>
      <c r="B326" s="30" t="s">
        <v>54</v>
      </c>
      <c r="C326" s="31" t="str">
        <f>VLOOKUP(B326,'Kode Data'!$B$3:$C$23,2,0)</f>
        <v>Karton Box</v>
      </c>
      <c r="D326" s="30" t="str">
        <f>VLOOKUP(LEFT(B326,2),'Kode Data'!$E$3:$G$6,3,0)</f>
        <v>Kemasan</v>
      </c>
      <c r="E326" s="31" t="s">
        <v>97</v>
      </c>
      <c r="F326" s="30">
        <v>0</v>
      </c>
      <c r="G326" s="30">
        <v>400</v>
      </c>
      <c r="H326" s="30">
        <v>8250</v>
      </c>
      <c r="I326" s="30">
        <v>7850</v>
      </c>
      <c r="J326" s="30" t="s">
        <v>80</v>
      </c>
      <c r="K326" s="32" t="s">
        <v>93</v>
      </c>
    </row>
    <row r="327" spans="1:11" ht="14.5" x14ac:dyDescent="0.35">
      <c r="A327" s="33">
        <v>45776</v>
      </c>
      <c r="B327" s="30" t="s">
        <v>19</v>
      </c>
      <c r="C327" s="31" t="str">
        <f>VLOOKUP(B327,'Kode Data'!$B$3:$C$23,2,0)</f>
        <v>Bran Gandum</v>
      </c>
      <c r="D327" s="30" t="str">
        <f>VLOOKUP(LEFT(B327,2),'Kode Data'!$E$3:$G$6,3,0)</f>
        <v>Bahan Baku</v>
      </c>
      <c r="E327" s="31" t="s">
        <v>79</v>
      </c>
      <c r="F327" s="30">
        <v>0</v>
      </c>
      <c r="G327" s="30">
        <v>250</v>
      </c>
      <c r="H327" s="30">
        <v>1750</v>
      </c>
      <c r="I327" s="30">
        <v>1500</v>
      </c>
      <c r="J327" s="30" t="s">
        <v>87</v>
      </c>
      <c r="K327" s="32" t="s">
        <v>104</v>
      </c>
    </row>
    <row r="328" spans="1:11" ht="14.5" x14ac:dyDescent="0.35">
      <c r="A328" s="29">
        <v>45777</v>
      </c>
      <c r="B328" s="30" t="s">
        <v>30</v>
      </c>
      <c r="C328" s="31" t="str">
        <f>VLOOKUP(B328,'Kode Data'!$B$3:$C$23,2,0)</f>
        <v>Vitamin Fortifikasi</v>
      </c>
      <c r="D328" s="30" t="str">
        <f>VLOOKUP(LEFT(B328,2),'Kode Data'!$E$3:$G$6,3,0)</f>
        <v>Bahan Tambahan</v>
      </c>
      <c r="E328" s="31" t="s">
        <v>101</v>
      </c>
      <c r="F328" s="30">
        <v>0</v>
      </c>
      <c r="G328" s="30">
        <v>80</v>
      </c>
      <c r="H328" s="30">
        <v>555</v>
      </c>
      <c r="I328" s="30">
        <v>475</v>
      </c>
      <c r="J328" s="30" t="s">
        <v>87</v>
      </c>
      <c r="K328" s="32" t="s">
        <v>104</v>
      </c>
    </row>
    <row r="329" spans="1:11" ht="14.5" x14ac:dyDescent="0.35">
      <c r="A329" s="29">
        <v>45777</v>
      </c>
      <c r="B329" s="30" t="s">
        <v>46</v>
      </c>
      <c r="C329" s="31" t="str">
        <f>VLOOKUP(B329,'Kode Data'!$B$3:$C$23,2,0)</f>
        <v>Karung Kemasan 25 Kg</v>
      </c>
      <c r="D329" s="30" t="str">
        <f>VLOOKUP(LEFT(B329,2),'Kode Data'!$E$3:$G$6,3,0)</f>
        <v>Kemasan</v>
      </c>
      <c r="E329" s="31" t="s">
        <v>97</v>
      </c>
      <c r="F329" s="30">
        <v>400</v>
      </c>
      <c r="G329" s="30">
        <v>0</v>
      </c>
      <c r="H329" s="30">
        <v>2300</v>
      </c>
      <c r="I329" s="30">
        <v>2700</v>
      </c>
      <c r="J329" s="30" t="s">
        <v>80</v>
      </c>
      <c r="K329" s="32" t="s">
        <v>85</v>
      </c>
    </row>
    <row r="330" spans="1:11" ht="14.5" x14ac:dyDescent="0.35">
      <c r="A330" s="29">
        <v>45778</v>
      </c>
      <c r="B330" s="30" t="s">
        <v>46</v>
      </c>
      <c r="C330" s="31" t="str">
        <f>VLOOKUP(B330,'Kode Data'!$B$3:$C$23,2,0)</f>
        <v>Karung Kemasan 25 Kg</v>
      </c>
      <c r="D330" s="30" t="str">
        <f>VLOOKUP(LEFT(B330,2),'Kode Data'!$E$3:$G$6,3,0)</f>
        <v>Kemasan</v>
      </c>
      <c r="E330" s="31" t="s">
        <v>84</v>
      </c>
      <c r="F330" s="30">
        <v>0</v>
      </c>
      <c r="G330" s="30">
        <v>200</v>
      </c>
      <c r="H330" s="30">
        <v>2700</v>
      </c>
      <c r="I330" s="30">
        <v>2500</v>
      </c>
      <c r="J330" s="30" t="s">
        <v>80</v>
      </c>
      <c r="K330" s="32" t="s">
        <v>93</v>
      </c>
    </row>
    <row r="331" spans="1:11" ht="14.5" x14ac:dyDescent="0.35">
      <c r="A331" s="29">
        <v>45778</v>
      </c>
      <c r="B331" s="30" t="s">
        <v>50</v>
      </c>
      <c r="C331" s="31" t="str">
        <f>VLOOKUP(B331,'Kode Data'!$B$3:$C$23,2,0)</f>
        <v>Plastik Kemasan 1 Kg</v>
      </c>
      <c r="D331" s="30" t="str">
        <f>VLOOKUP(LEFT(B331,2),'Kode Data'!$E$3:$G$6,3,0)</f>
        <v>Kemasan</v>
      </c>
      <c r="E331" s="31" t="s">
        <v>86</v>
      </c>
      <c r="F331" s="30">
        <v>0</v>
      </c>
      <c r="G331" s="30">
        <v>500</v>
      </c>
      <c r="H331" s="30">
        <v>9300</v>
      </c>
      <c r="I331" s="30">
        <v>8800</v>
      </c>
      <c r="J331" s="30" t="s">
        <v>80</v>
      </c>
      <c r="K331" s="32" t="s">
        <v>93</v>
      </c>
    </row>
    <row r="332" spans="1:11" ht="14.5" x14ac:dyDescent="0.35">
      <c r="A332" s="33">
        <v>45778</v>
      </c>
      <c r="B332" s="30" t="s">
        <v>19</v>
      </c>
      <c r="C332" s="31" t="str">
        <f>VLOOKUP(B332,'Kode Data'!$B$3:$C$23,2,0)</f>
        <v>Bran Gandum</v>
      </c>
      <c r="D332" s="30" t="str">
        <f>VLOOKUP(LEFT(B332,2),'Kode Data'!$E$3:$G$6,3,0)</f>
        <v>Bahan Baku</v>
      </c>
      <c r="E332" s="31" t="s">
        <v>98</v>
      </c>
      <c r="F332" s="30">
        <v>400</v>
      </c>
      <c r="G332" s="30">
        <v>0</v>
      </c>
      <c r="H332" s="30">
        <v>1500</v>
      </c>
      <c r="I332" s="30">
        <v>1900</v>
      </c>
      <c r="J332" s="30" t="s">
        <v>87</v>
      </c>
      <c r="K332" s="32" t="s">
        <v>88</v>
      </c>
    </row>
    <row r="333" spans="1:11" ht="14.5" x14ac:dyDescent="0.35">
      <c r="A333" s="29">
        <v>45779</v>
      </c>
      <c r="B333" s="30" t="s">
        <v>26</v>
      </c>
      <c r="C333" s="31" t="str">
        <f>VLOOKUP(B333,'Kode Data'!$B$3:$C$23,2,0)</f>
        <v>Enzim Baking</v>
      </c>
      <c r="D333" s="30" t="str">
        <f>VLOOKUP(LEFT(B333,2),'Kode Data'!$E$3:$G$6,3,0)</f>
        <v>Bahan Tambahan</v>
      </c>
      <c r="E333" s="31" t="s">
        <v>106</v>
      </c>
      <c r="F333" s="30">
        <v>120</v>
      </c>
      <c r="G333" s="30">
        <v>0</v>
      </c>
      <c r="H333" s="30">
        <v>265</v>
      </c>
      <c r="I333" s="30">
        <v>385</v>
      </c>
      <c r="J333" s="30" t="s">
        <v>87</v>
      </c>
      <c r="K333" s="32" t="s">
        <v>96</v>
      </c>
    </row>
    <row r="334" spans="1:11" ht="14.5" x14ac:dyDescent="0.35">
      <c r="A334" s="29">
        <v>45779</v>
      </c>
      <c r="B334" s="30" t="s">
        <v>30</v>
      </c>
      <c r="C334" s="31" t="str">
        <f>VLOOKUP(B334,'Kode Data'!$B$3:$C$23,2,0)</f>
        <v>Vitamin Fortifikasi</v>
      </c>
      <c r="D334" s="30" t="str">
        <f>VLOOKUP(LEFT(B334,2),'Kode Data'!$E$3:$G$6,3,0)</f>
        <v>Bahan Tambahan</v>
      </c>
      <c r="E334" s="31" t="s">
        <v>112</v>
      </c>
      <c r="F334" s="30">
        <v>110</v>
      </c>
      <c r="G334" s="30">
        <v>0</v>
      </c>
      <c r="H334" s="30">
        <v>475</v>
      </c>
      <c r="I334" s="30">
        <v>585</v>
      </c>
      <c r="J334" s="30" t="s">
        <v>87</v>
      </c>
      <c r="K334" s="32" t="s">
        <v>96</v>
      </c>
    </row>
    <row r="335" spans="1:11" ht="14.5" x14ac:dyDescent="0.35">
      <c r="A335" s="33">
        <v>45779</v>
      </c>
      <c r="B335" s="30" t="s">
        <v>54</v>
      </c>
      <c r="C335" s="31" t="str">
        <f>VLOOKUP(B335,'Kode Data'!$B$3:$C$23,2,0)</f>
        <v>Karton Box</v>
      </c>
      <c r="D335" s="30" t="str">
        <f>VLOOKUP(LEFT(B335,2),'Kode Data'!$E$3:$G$6,3,0)</f>
        <v>Kemasan</v>
      </c>
      <c r="E335" s="31" t="s">
        <v>109</v>
      </c>
      <c r="F335" s="30">
        <v>1100</v>
      </c>
      <c r="G335" s="30">
        <v>0</v>
      </c>
      <c r="H335" s="30">
        <v>7850</v>
      </c>
      <c r="I335" s="30">
        <v>8950</v>
      </c>
      <c r="J335" s="30" t="s">
        <v>80</v>
      </c>
      <c r="K335" s="32" t="s">
        <v>85</v>
      </c>
    </row>
    <row r="336" spans="1:11" ht="14.5" x14ac:dyDescent="0.35">
      <c r="A336" s="33">
        <v>45779</v>
      </c>
      <c r="B336" s="30" t="s">
        <v>4</v>
      </c>
      <c r="C336" s="31" t="str">
        <f>VLOOKUP(B336,'Kode Data'!$B$3:$C$23,2,0)</f>
        <v>Gandum Hard Wheat</v>
      </c>
      <c r="D336" s="30" t="str">
        <f>VLOOKUP(LEFT(B336,2),'Kode Data'!$E$3:$G$6,3,0)</f>
        <v>Bahan Baku</v>
      </c>
      <c r="E336" s="31" t="s">
        <v>98</v>
      </c>
      <c r="F336" s="30">
        <v>500</v>
      </c>
      <c r="G336" s="30">
        <v>0</v>
      </c>
      <c r="H336" s="30">
        <v>2050</v>
      </c>
      <c r="I336" s="30">
        <v>2550</v>
      </c>
      <c r="J336" s="30" t="s">
        <v>87</v>
      </c>
      <c r="K336" s="32" t="s">
        <v>110</v>
      </c>
    </row>
    <row r="337" spans="1:11" ht="14.5" x14ac:dyDescent="0.35">
      <c r="A337" s="33">
        <v>45779</v>
      </c>
      <c r="B337" s="30" t="s">
        <v>9</v>
      </c>
      <c r="C337" s="31" t="str">
        <f>VLOOKUP(B337,'Kode Data'!$B$3:$C$23,2,0)</f>
        <v>Gandum Soft Wheat</v>
      </c>
      <c r="D337" s="30" t="str">
        <f>VLOOKUP(LEFT(B337,2),'Kode Data'!$E$3:$G$6,3,0)</f>
        <v>Bahan Baku</v>
      </c>
      <c r="E337" s="31" t="s">
        <v>89</v>
      </c>
      <c r="F337" s="30">
        <v>500</v>
      </c>
      <c r="G337" s="30">
        <v>0</v>
      </c>
      <c r="H337" s="30">
        <v>1800</v>
      </c>
      <c r="I337" s="30">
        <v>2300</v>
      </c>
      <c r="J337" s="30" t="s">
        <v>87</v>
      </c>
      <c r="K337" s="32" t="s">
        <v>88</v>
      </c>
    </row>
    <row r="338" spans="1:11" ht="14.5" x14ac:dyDescent="0.35">
      <c r="A338" s="29">
        <v>45780</v>
      </c>
      <c r="B338" s="30" t="s">
        <v>46</v>
      </c>
      <c r="C338" s="31" t="str">
        <f>VLOOKUP(B338,'Kode Data'!$B$3:$C$23,2,0)</f>
        <v>Karung Kemasan 25 Kg</v>
      </c>
      <c r="D338" s="30" t="str">
        <f>VLOOKUP(LEFT(B338,2),'Kode Data'!$E$3:$G$6,3,0)</f>
        <v>Kemasan</v>
      </c>
      <c r="E338" s="31" t="s">
        <v>84</v>
      </c>
      <c r="F338" s="30">
        <v>350</v>
      </c>
      <c r="G338" s="30">
        <v>0</v>
      </c>
      <c r="H338" s="30">
        <v>2500</v>
      </c>
      <c r="I338" s="30">
        <v>2850</v>
      </c>
      <c r="J338" s="30" t="s">
        <v>80</v>
      </c>
      <c r="K338" s="32" t="s">
        <v>85</v>
      </c>
    </row>
    <row r="339" spans="1:11" ht="14.5" x14ac:dyDescent="0.35">
      <c r="A339" s="33">
        <v>45780</v>
      </c>
      <c r="B339" s="30" t="s">
        <v>52</v>
      </c>
      <c r="C339" s="31" t="str">
        <f>VLOOKUP(B339,'Kode Data'!$B$3:$C$23,2,0)</f>
        <v>Plastik Kemasan 500 gr</v>
      </c>
      <c r="D339" s="30" t="str">
        <f>VLOOKUP(LEFT(B339,2),'Kode Data'!$E$3:$G$6,3,0)</f>
        <v>Kemasan</v>
      </c>
      <c r="E339" s="31" t="s">
        <v>86</v>
      </c>
      <c r="F339" s="30">
        <v>0</v>
      </c>
      <c r="G339" s="30">
        <v>450</v>
      </c>
      <c r="H339" s="30">
        <v>7850</v>
      </c>
      <c r="I339" s="30">
        <v>7400</v>
      </c>
      <c r="J339" s="30" t="s">
        <v>80</v>
      </c>
      <c r="K339" s="32" t="s">
        <v>93</v>
      </c>
    </row>
    <row r="340" spans="1:11" ht="14.5" x14ac:dyDescent="0.35">
      <c r="A340" s="29">
        <v>45781</v>
      </c>
      <c r="B340" s="30" t="s">
        <v>62</v>
      </c>
      <c r="C340" s="31" t="str">
        <f>VLOOKUP(B340,'Kode Data'!$B$3:$C$23,2,0)</f>
        <v>Tepung Terigu Serbaguna</v>
      </c>
      <c r="D340" s="30" t="str">
        <f>VLOOKUP(LEFT(B340,2),'Kode Data'!$E$3:$G$6,3,0)</f>
        <v>Produk</v>
      </c>
      <c r="E340" s="31" t="s">
        <v>79</v>
      </c>
      <c r="F340" s="30">
        <v>700</v>
      </c>
      <c r="G340" s="30">
        <v>0</v>
      </c>
      <c r="H340" s="30">
        <v>1100</v>
      </c>
      <c r="I340" s="30">
        <v>1800</v>
      </c>
      <c r="J340" s="30" t="s">
        <v>80</v>
      </c>
      <c r="K340" s="32" t="s">
        <v>81</v>
      </c>
    </row>
    <row r="341" spans="1:11" ht="14.5" x14ac:dyDescent="0.35">
      <c r="A341" s="33">
        <v>45781</v>
      </c>
      <c r="B341" s="30" t="s">
        <v>58</v>
      </c>
      <c r="C341" s="31" t="str">
        <f>VLOOKUP(B341,'Kode Data'!$B$3:$C$23,2,0)</f>
        <v>Pallet Kayu</v>
      </c>
      <c r="D341" s="30" t="str">
        <f>VLOOKUP(LEFT(B341,2),'Kode Data'!$E$3:$G$6,3,0)</f>
        <v>Kemasan</v>
      </c>
      <c r="E341" s="31" t="s">
        <v>122</v>
      </c>
      <c r="F341" s="30">
        <v>70</v>
      </c>
      <c r="G341" s="30">
        <v>0</v>
      </c>
      <c r="H341" s="30">
        <v>190</v>
      </c>
      <c r="I341" s="30">
        <v>260</v>
      </c>
      <c r="J341" s="30" t="s">
        <v>80</v>
      </c>
      <c r="K341" s="32" t="s">
        <v>85</v>
      </c>
    </row>
    <row r="342" spans="1:11" ht="14.5" x14ac:dyDescent="0.35">
      <c r="A342" s="29">
        <v>45782</v>
      </c>
      <c r="B342" s="30" t="s">
        <v>34</v>
      </c>
      <c r="C342" s="31" t="str">
        <f>VLOOKUP(B342,'Kode Data'!$B$3:$C$23,2,0)</f>
        <v>Tepung Premix</v>
      </c>
      <c r="D342" s="30" t="str">
        <f>VLOOKUP(LEFT(B342,2),'Kode Data'!$E$3:$G$6,3,0)</f>
        <v>Bahan Tambahan</v>
      </c>
      <c r="E342" s="31" t="s">
        <v>79</v>
      </c>
      <c r="F342" s="30">
        <v>170</v>
      </c>
      <c r="G342" s="30">
        <v>0</v>
      </c>
      <c r="H342" s="30">
        <v>730</v>
      </c>
      <c r="I342" s="30">
        <v>900</v>
      </c>
      <c r="J342" s="30" t="s">
        <v>87</v>
      </c>
      <c r="K342" s="32" t="s">
        <v>96</v>
      </c>
    </row>
    <row r="343" spans="1:11" ht="14.5" x14ac:dyDescent="0.35">
      <c r="A343" s="33">
        <v>45782</v>
      </c>
      <c r="B343" s="30" t="s">
        <v>56</v>
      </c>
      <c r="C343" s="31" t="str">
        <f>VLOOKUP(B343,'Kode Data'!$B$3:$C$23,2,0)</f>
        <v>Label Produk</v>
      </c>
      <c r="D343" s="30" t="str">
        <f>VLOOKUP(LEFT(B343,2),'Kode Data'!$E$3:$G$6,3,0)</f>
        <v>Kemasan</v>
      </c>
      <c r="E343" s="31" t="s">
        <v>103</v>
      </c>
      <c r="F343" s="30">
        <v>500</v>
      </c>
      <c r="G343" s="30">
        <v>0</v>
      </c>
      <c r="H343" s="30">
        <v>1650</v>
      </c>
      <c r="I343" s="30">
        <v>2150</v>
      </c>
      <c r="J343" s="30" t="s">
        <v>80</v>
      </c>
      <c r="K343" s="32" t="s">
        <v>85</v>
      </c>
    </row>
    <row r="344" spans="1:11" ht="14.5" x14ac:dyDescent="0.35">
      <c r="A344" s="33">
        <v>45782</v>
      </c>
      <c r="B344" s="30" t="s">
        <v>24</v>
      </c>
      <c r="C344" s="31" t="str">
        <f>VLOOKUP(B344,'Kode Data'!$B$3:$C$23,2,0)</f>
        <v>Germ Gandum</v>
      </c>
      <c r="D344" s="30" t="str">
        <f>VLOOKUP(LEFT(B344,2),'Kode Data'!$E$3:$G$6,3,0)</f>
        <v>Bahan Baku</v>
      </c>
      <c r="E344" s="31" t="s">
        <v>98</v>
      </c>
      <c r="F344" s="30">
        <v>320</v>
      </c>
      <c r="G344" s="30">
        <v>0</v>
      </c>
      <c r="H344" s="30">
        <v>1210</v>
      </c>
      <c r="I344" s="30">
        <v>1530</v>
      </c>
      <c r="J344" s="30" t="s">
        <v>87</v>
      </c>
      <c r="K344" s="32" t="s">
        <v>88</v>
      </c>
    </row>
    <row r="345" spans="1:11" ht="14.5" x14ac:dyDescent="0.35">
      <c r="A345" s="29">
        <v>45783</v>
      </c>
      <c r="B345" s="30" t="s">
        <v>38</v>
      </c>
      <c r="C345" s="31" t="str">
        <f>VLOOKUP(B345,'Kode Data'!$B$3:$C$23,2,0)</f>
        <v>Improver Tepung</v>
      </c>
      <c r="D345" s="30" t="str">
        <f>VLOOKUP(LEFT(B345,2),'Kode Data'!$E$3:$G$6,3,0)</f>
        <v>Bahan Tambahan</v>
      </c>
      <c r="E345" s="31" t="s">
        <v>107</v>
      </c>
      <c r="F345" s="30">
        <v>170</v>
      </c>
      <c r="G345" s="30">
        <v>0</v>
      </c>
      <c r="H345" s="30">
        <v>380</v>
      </c>
      <c r="I345" s="30">
        <v>550</v>
      </c>
      <c r="J345" s="30" t="s">
        <v>87</v>
      </c>
      <c r="K345" s="32" t="s">
        <v>96</v>
      </c>
    </row>
    <row r="346" spans="1:11" ht="14.5" x14ac:dyDescent="0.35">
      <c r="A346" s="29">
        <v>45783</v>
      </c>
      <c r="B346" s="30" t="s">
        <v>42</v>
      </c>
      <c r="C346" s="31" t="str">
        <f>VLOOKUP(B346,'Kode Data'!$B$3:$C$23,2,0)</f>
        <v>Calcium Propionate</v>
      </c>
      <c r="D346" s="30" t="str">
        <f>VLOOKUP(LEFT(B346,2),'Kode Data'!$E$3:$G$6,3,0)</f>
        <v>Bahan Tambahan</v>
      </c>
      <c r="E346" s="31" t="s">
        <v>95</v>
      </c>
      <c r="F346" s="30">
        <v>60</v>
      </c>
      <c r="G346" s="30">
        <v>0</v>
      </c>
      <c r="H346" s="30">
        <v>385</v>
      </c>
      <c r="I346" s="30">
        <v>445</v>
      </c>
      <c r="J346" s="30" t="s">
        <v>87</v>
      </c>
      <c r="K346" s="32" t="s">
        <v>116</v>
      </c>
    </row>
    <row r="347" spans="1:11" ht="14.5" x14ac:dyDescent="0.35">
      <c r="A347" s="29">
        <v>45783</v>
      </c>
      <c r="B347" s="30" t="s">
        <v>60</v>
      </c>
      <c r="C347" s="31" t="str">
        <f>VLOOKUP(B347,'Kode Data'!$B$3:$C$23,2,0)</f>
        <v>Tepung Terigu Protein Tinggi</v>
      </c>
      <c r="D347" s="30" t="str">
        <f>VLOOKUP(LEFT(B347,2),'Kode Data'!$E$3:$G$6,3,0)</f>
        <v>Produk</v>
      </c>
      <c r="E347" s="31" t="s">
        <v>108</v>
      </c>
      <c r="F347" s="30">
        <v>700</v>
      </c>
      <c r="G347" s="30">
        <v>0</v>
      </c>
      <c r="H347" s="30">
        <v>1100</v>
      </c>
      <c r="I347" s="30">
        <v>1800</v>
      </c>
      <c r="J347" s="30" t="s">
        <v>80</v>
      </c>
      <c r="K347" s="32" t="s">
        <v>81</v>
      </c>
    </row>
    <row r="348" spans="1:11" ht="14.5" x14ac:dyDescent="0.35">
      <c r="A348" s="33">
        <v>45783</v>
      </c>
      <c r="B348" s="30" t="s">
        <v>14</v>
      </c>
      <c r="C348" s="31" t="str">
        <f>VLOOKUP(B348,'Kode Data'!$B$3:$C$23,2,0)</f>
        <v>Gandum Durum</v>
      </c>
      <c r="D348" s="30" t="str">
        <f>VLOOKUP(LEFT(B348,2),'Kode Data'!$E$3:$G$6,3,0)</f>
        <v>Bahan Baku</v>
      </c>
      <c r="E348" s="31" t="s">
        <v>79</v>
      </c>
      <c r="F348" s="30">
        <v>260</v>
      </c>
      <c r="G348" s="30">
        <v>0</v>
      </c>
      <c r="H348" s="30">
        <v>1390</v>
      </c>
      <c r="I348" s="30">
        <v>1650</v>
      </c>
      <c r="J348" s="30" t="s">
        <v>87</v>
      </c>
      <c r="K348" s="32" t="s">
        <v>110</v>
      </c>
    </row>
    <row r="349" spans="1:11" ht="14.5" x14ac:dyDescent="0.35">
      <c r="A349" s="33">
        <v>45785</v>
      </c>
      <c r="B349" s="30" t="s">
        <v>19</v>
      </c>
      <c r="C349" s="31" t="str">
        <f>VLOOKUP(B349,'Kode Data'!$B$3:$C$23,2,0)</f>
        <v>Bran Gandum</v>
      </c>
      <c r="D349" s="30" t="str">
        <f>VLOOKUP(LEFT(B349,2),'Kode Data'!$E$3:$G$6,3,0)</f>
        <v>Bahan Baku</v>
      </c>
      <c r="E349" s="31" t="s">
        <v>118</v>
      </c>
      <c r="F349" s="30">
        <v>0</v>
      </c>
      <c r="G349" s="30">
        <v>300</v>
      </c>
      <c r="H349" s="30">
        <v>1900</v>
      </c>
      <c r="I349" s="30">
        <v>1600</v>
      </c>
      <c r="J349" s="30" t="s">
        <v>87</v>
      </c>
      <c r="K349" s="32" t="s">
        <v>104</v>
      </c>
    </row>
    <row r="350" spans="1:11" ht="14.5" x14ac:dyDescent="0.35">
      <c r="A350" s="29">
        <v>45787</v>
      </c>
      <c r="B350" s="30" t="s">
        <v>26</v>
      </c>
      <c r="C350" s="31" t="str">
        <f>VLOOKUP(B350,'Kode Data'!$B$3:$C$23,2,0)</f>
        <v>Enzim Baking</v>
      </c>
      <c r="D350" s="30" t="str">
        <f>VLOOKUP(LEFT(B350,2),'Kode Data'!$E$3:$G$6,3,0)</f>
        <v>Bahan Tambahan</v>
      </c>
      <c r="E350" s="31" t="s">
        <v>115</v>
      </c>
      <c r="F350" s="30">
        <v>0</v>
      </c>
      <c r="G350" s="30">
        <v>90</v>
      </c>
      <c r="H350" s="30">
        <v>385</v>
      </c>
      <c r="I350" s="30">
        <v>295</v>
      </c>
      <c r="J350" s="30" t="s">
        <v>87</v>
      </c>
      <c r="K350" s="32" t="s">
        <v>104</v>
      </c>
    </row>
    <row r="351" spans="1:11" ht="14.5" x14ac:dyDescent="0.35">
      <c r="A351" s="29">
        <v>45787</v>
      </c>
      <c r="B351" s="30" t="s">
        <v>30</v>
      </c>
      <c r="C351" s="31" t="str">
        <f>VLOOKUP(B351,'Kode Data'!$B$3:$C$23,2,0)</f>
        <v>Vitamin Fortifikasi</v>
      </c>
      <c r="D351" s="30" t="str">
        <f>VLOOKUP(LEFT(B351,2),'Kode Data'!$E$3:$G$6,3,0)</f>
        <v>Bahan Tambahan</v>
      </c>
      <c r="E351" s="31" t="s">
        <v>119</v>
      </c>
      <c r="F351" s="30">
        <v>0</v>
      </c>
      <c r="G351" s="30">
        <v>90</v>
      </c>
      <c r="H351" s="30">
        <v>585</v>
      </c>
      <c r="I351" s="30">
        <v>495</v>
      </c>
      <c r="J351" s="30" t="s">
        <v>87</v>
      </c>
      <c r="K351" s="32" t="s">
        <v>104</v>
      </c>
    </row>
    <row r="352" spans="1:11" ht="14.5" x14ac:dyDescent="0.35">
      <c r="A352" s="33">
        <v>45787</v>
      </c>
      <c r="B352" s="30" t="s">
        <v>54</v>
      </c>
      <c r="C352" s="31" t="str">
        <f>VLOOKUP(B352,'Kode Data'!$B$3:$C$23,2,0)</f>
        <v>Karton Box</v>
      </c>
      <c r="D352" s="30" t="str">
        <f>VLOOKUP(LEFT(B352,2),'Kode Data'!$E$3:$G$6,3,0)</f>
        <v>Kemasan</v>
      </c>
      <c r="E352" s="31" t="s">
        <v>114</v>
      </c>
      <c r="F352" s="30">
        <v>0</v>
      </c>
      <c r="G352" s="30">
        <v>500</v>
      </c>
      <c r="H352" s="30">
        <v>8950</v>
      </c>
      <c r="I352" s="30">
        <v>8450</v>
      </c>
      <c r="J352" s="30" t="s">
        <v>80</v>
      </c>
      <c r="K352" s="32" t="s">
        <v>93</v>
      </c>
    </row>
    <row r="353" spans="1:11" ht="14.5" x14ac:dyDescent="0.35">
      <c r="A353" s="33">
        <v>45787</v>
      </c>
      <c r="B353" s="30" t="s">
        <v>9</v>
      </c>
      <c r="C353" s="31" t="str">
        <f>VLOOKUP(B353,'Kode Data'!$B$3:$C$23,2,0)</f>
        <v>Gandum Soft Wheat</v>
      </c>
      <c r="D353" s="30" t="str">
        <f>VLOOKUP(LEFT(B353,2),'Kode Data'!$E$3:$G$6,3,0)</f>
        <v>Bahan Baku</v>
      </c>
      <c r="E353" s="31" t="s">
        <v>98</v>
      </c>
      <c r="F353" s="30">
        <v>0</v>
      </c>
      <c r="G353" s="30">
        <v>400</v>
      </c>
      <c r="H353" s="30">
        <v>2300</v>
      </c>
      <c r="I353" s="30">
        <v>1900</v>
      </c>
      <c r="J353" s="30" t="s">
        <v>87</v>
      </c>
      <c r="K353" s="32" t="s">
        <v>104</v>
      </c>
    </row>
    <row r="354" spans="1:11" ht="14.5" x14ac:dyDescent="0.35">
      <c r="A354" s="33">
        <v>45788</v>
      </c>
      <c r="B354" s="30" t="s">
        <v>4</v>
      </c>
      <c r="C354" s="31" t="str">
        <f>VLOOKUP(B354,'Kode Data'!$B$3:$C$23,2,0)</f>
        <v>Gandum Hard Wheat</v>
      </c>
      <c r="D354" s="30" t="str">
        <f>VLOOKUP(LEFT(B354,2),'Kode Data'!$E$3:$G$6,3,0)</f>
        <v>Bahan Baku</v>
      </c>
      <c r="E354" s="31" t="s">
        <v>89</v>
      </c>
      <c r="F354" s="30">
        <v>0</v>
      </c>
      <c r="G354" s="30">
        <v>400</v>
      </c>
      <c r="H354" s="30">
        <v>2550</v>
      </c>
      <c r="I354" s="30">
        <v>2150</v>
      </c>
      <c r="J354" s="30" t="s">
        <v>87</v>
      </c>
      <c r="K354" s="32" t="s">
        <v>104</v>
      </c>
    </row>
    <row r="355" spans="1:11" ht="14.5" x14ac:dyDescent="0.35">
      <c r="A355" s="33">
        <v>45789</v>
      </c>
      <c r="B355" s="30" t="s">
        <v>56</v>
      </c>
      <c r="C355" s="31" t="str">
        <f>VLOOKUP(B355,'Kode Data'!$B$3:$C$23,2,0)</f>
        <v>Label Produk</v>
      </c>
      <c r="D355" s="30" t="str">
        <f>VLOOKUP(LEFT(B355,2),'Kode Data'!$E$3:$G$6,3,0)</f>
        <v>Kemasan</v>
      </c>
      <c r="E355" s="31" t="s">
        <v>103</v>
      </c>
      <c r="F355" s="30">
        <v>0</v>
      </c>
      <c r="G355" s="30">
        <v>450</v>
      </c>
      <c r="H355" s="30">
        <v>2150</v>
      </c>
      <c r="I355" s="30">
        <v>1700</v>
      </c>
      <c r="J355" s="30" t="s">
        <v>80</v>
      </c>
      <c r="K355" s="32" t="s">
        <v>93</v>
      </c>
    </row>
    <row r="356" spans="1:11" ht="14.5" x14ac:dyDescent="0.35">
      <c r="A356" s="29">
        <v>45790</v>
      </c>
      <c r="B356" s="30" t="s">
        <v>34</v>
      </c>
      <c r="C356" s="31" t="str">
        <f>VLOOKUP(B356,'Kode Data'!$B$3:$C$23,2,0)</f>
        <v>Tepung Premix</v>
      </c>
      <c r="D356" s="30" t="str">
        <f>VLOOKUP(LEFT(B356,2),'Kode Data'!$E$3:$G$6,3,0)</f>
        <v>Bahan Tambahan</v>
      </c>
      <c r="E356" s="31" t="s">
        <v>89</v>
      </c>
      <c r="F356" s="30">
        <v>0</v>
      </c>
      <c r="G356" s="30">
        <v>180</v>
      </c>
      <c r="H356" s="30">
        <v>900</v>
      </c>
      <c r="I356" s="30">
        <v>720</v>
      </c>
      <c r="J356" s="30" t="s">
        <v>87</v>
      </c>
      <c r="K356" s="32" t="s">
        <v>104</v>
      </c>
    </row>
    <row r="357" spans="1:11" ht="14.5" x14ac:dyDescent="0.35">
      <c r="A357" s="29">
        <v>45790</v>
      </c>
      <c r="B357" s="30" t="s">
        <v>38</v>
      </c>
      <c r="C357" s="31" t="str">
        <f>VLOOKUP(B357,'Kode Data'!$B$3:$C$23,2,0)</f>
        <v>Improver Tepung</v>
      </c>
      <c r="D357" s="30" t="str">
        <f>VLOOKUP(LEFT(B357,2),'Kode Data'!$E$3:$G$6,3,0)</f>
        <v>Bahan Tambahan</v>
      </c>
      <c r="E357" s="31" t="s">
        <v>117</v>
      </c>
      <c r="F357" s="30">
        <v>0</v>
      </c>
      <c r="G357" s="30">
        <v>130</v>
      </c>
      <c r="H357" s="30">
        <v>550</v>
      </c>
      <c r="I357" s="30">
        <v>420</v>
      </c>
      <c r="J357" s="30" t="s">
        <v>87</v>
      </c>
      <c r="K357" s="32" t="s">
        <v>104</v>
      </c>
    </row>
    <row r="358" spans="1:11" ht="14.5" x14ac:dyDescent="0.35">
      <c r="A358" s="29">
        <v>45790</v>
      </c>
      <c r="B358" s="30" t="s">
        <v>60</v>
      </c>
      <c r="C358" s="31" t="str">
        <f>VLOOKUP(B358,'Kode Data'!$B$3:$C$23,2,0)</f>
        <v>Tepung Terigu Protein Tinggi</v>
      </c>
      <c r="D358" s="30" t="str">
        <f>VLOOKUP(LEFT(B358,2),'Kode Data'!$E$3:$G$6,3,0)</f>
        <v>Produk</v>
      </c>
      <c r="E358" s="31" t="s">
        <v>113</v>
      </c>
      <c r="F358" s="30">
        <v>0</v>
      </c>
      <c r="G358" s="30">
        <v>600</v>
      </c>
      <c r="H358" s="30">
        <v>1800</v>
      </c>
      <c r="I358" s="30">
        <v>1200</v>
      </c>
      <c r="J358" s="30" t="s">
        <v>80</v>
      </c>
      <c r="K358" s="32" t="s">
        <v>90</v>
      </c>
    </row>
    <row r="359" spans="1:11" ht="14.5" x14ac:dyDescent="0.35">
      <c r="A359" s="29">
        <v>45790</v>
      </c>
      <c r="B359" s="30" t="s">
        <v>62</v>
      </c>
      <c r="C359" s="31" t="str">
        <f>VLOOKUP(B359,'Kode Data'!$B$3:$C$23,2,0)</f>
        <v>Tepung Terigu Serbaguna</v>
      </c>
      <c r="D359" s="30" t="str">
        <f>VLOOKUP(LEFT(B359,2),'Kode Data'!$E$3:$G$6,3,0)</f>
        <v>Produk</v>
      </c>
      <c r="E359" s="31" t="s">
        <v>89</v>
      </c>
      <c r="F359" s="30">
        <v>0</v>
      </c>
      <c r="G359" s="30">
        <v>600</v>
      </c>
      <c r="H359" s="30">
        <v>1800</v>
      </c>
      <c r="I359" s="30">
        <v>1200</v>
      </c>
      <c r="J359" s="30" t="s">
        <v>80</v>
      </c>
      <c r="K359" s="32" t="s">
        <v>90</v>
      </c>
    </row>
    <row r="360" spans="1:11" ht="14.5" x14ac:dyDescent="0.35">
      <c r="A360" s="33">
        <v>45790</v>
      </c>
      <c r="B360" s="30" t="s">
        <v>58</v>
      </c>
      <c r="C360" s="31" t="str">
        <f>VLOOKUP(B360,'Kode Data'!$B$3:$C$23,2,0)</f>
        <v>Pallet Kayu</v>
      </c>
      <c r="D360" s="30" t="str">
        <f>VLOOKUP(LEFT(B360,2),'Kode Data'!$E$3:$G$6,3,0)</f>
        <v>Kemasan</v>
      </c>
      <c r="E360" s="31" t="s">
        <v>94</v>
      </c>
      <c r="F360" s="30">
        <v>0</v>
      </c>
      <c r="G360" s="30">
        <v>60</v>
      </c>
      <c r="H360" s="30">
        <v>260</v>
      </c>
      <c r="I360" s="30">
        <v>200</v>
      </c>
      <c r="J360" s="30" t="s">
        <v>80</v>
      </c>
      <c r="K360" s="32" t="s">
        <v>93</v>
      </c>
    </row>
    <row r="361" spans="1:11" ht="14.5" x14ac:dyDescent="0.35">
      <c r="A361" s="33">
        <v>45790</v>
      </c>
      <c r="B361" s="30" t="s">
        <v>24</v>
      </c>
      <c r="C361" s="31" t="str">
        <f>VLOOKUP(B361,'Kode Data'!$B$3:$C$23,2,0)</f>
        <v>Germ Gandum</v>
      </c>
      <c r="D361" s="30" t="str">
        <f>VLOOKUP(LEFT(B361,2),'Kode Data'!$E$3:$G$6,3,0)</f>
        <v>Bahan Baku</v>
      </c>
      <c r="E361" s="31" t="s">
        <v>98</v>
      </c>
      <c r="F361" s="30">
        <v>0</v>
      </c>
      <c r="G361" s="30">
        <v>200</v>
      </c>
      <c r="H361" s="30">
        <v>1530</v>
      </c>
      <c r="I361" s="30">
        <v>1330</v>
      </c>
      <c r="J361" s="30" t="s">
        <v>87</v>
      </c>
      <c r="K361" s="32" t="s">
        <v>104</v>
      </c>
    </row>
    <row r="362" spans="1:11" ht="14.5" x14ac:dyDescent="0.35">
      <c r="A362" s="29">
        <v>45791</v>
      </c>
      <c r="B362" s="30" t="s">
        <v>42</v>
      </c>
      <c r="C362" s="31" t="str">
        <f>VLOOKUP(B362,'Kode Data'!$B$3:$C$23,2,0)</f>
        <v>Calcium Propionate</v>
      </c>
      <c r="D362" s="30" t="str">
        <f>VLOOKUP(LEFT(B362,2),'Kode Data'!$E$3:$G$6,3,0)</f>
        <v>Bahan Tambahan</v>
      </c>
      <c r="E362" s="31" t="s">
        <v>111</v>
      </c>
      <c r="F362" s="30">
        <v>0</v>
      </c>
      <c r="G362" s="30">
        <v>20</v>
      </c>
      <c r="H362" s="30">
        <v>445</v>
      </c>
      <c r="I362" s="30">
        <v>425</v>
      </c>
      <c r="J362" s="30" t="s">
        <v>87</v>
      </c>
      <c r="K362" s="32" t="s">
        <v>104</v>
      </c>
    </row>
    <row r="363" spans="1:11" ht="14.5" x14ac:dyDescent="0.35">
      <c r="A363" s="33">
        <v>45791</v>
      </c>
      <c r="B363" s="30" t="s">
        <v>14</v>
      </c>
      <c r="C363" s="31" t="str">
        <f>VLOOKUP(B363,'Kode Data'!$B$3:$C$23,2,0)</f>
        <v>Gandum Durum</v>
      </c>
      <c r="D363" s="30" t="str">
        <f>VLOOKUP(LEFT(B363,2),'Kode Data'!$E$3:$G$6,3,0)</f>
        <v>Bahan Baku</v>
      </c>
      <c r="E363" s="31" t="s">
        <v>79</v>
      </c>
      <c r="F363" s="30">
        <v>0</v>
      </c>
      <c r="G363" s="30">
        <v>250</v>
      </c>
      <c r="H363" s="30">
        <v>1650</v>
      </c>
      <c r="I363" s="30">
        <v>1400</v>
      </c>
      <c r="J363" s="30" t="s">
        <v>87</v>
      </c>
      <c r="K363" s="32" t="s">
        <v>104</v>
      </c>
    </row>
    <row r="364" spans="1:11" ht="14.5" x14ac:dyDescent="0.35">
      <c r="A364" s="29">
        <v>45792</v>
      </c>
      <c r="B364" s="30" t="s">
        <v>64</v>
      </c>
      <c r="C364" s="31" t="str">
        <f>VLOOKUP(B364,'Kode Data'!$B$3:$C$23,2,0)</f>
        <v>Tepung Terigu Protein Rendah</v>
      </c>
      <c r="D364" s="30" t="str">
        <f>VLOOKUP(LEFT(B364,2),'Kode Data'!$E$3:$G$6,3,0)</f>
        <v>Produk</v>
      </c>
      <c r="E364" s="31" t="s">
        <v>79</v>
      </c>
      <c r="F364" s="30">
        <v>700</v>
      </c>
      <c r="G364" s="30">
        <v>0</v>
      </c>
      <c r="H364" s="30">
        <v>2350</v>
      </c>
      <c r="I364" s="30">
        <v>3050</v>
      </c>
      <c r="J364" s="30" t="s">
        <v>80</v>
      </c>
      <c r="K364" s="32" t="s">
        <v>81</v>
      </c>
    </row>
    <row r="365" spans="1:11" ht="14.5" x14ac:dyDescent="0.35">
      <c r="A365" s="33">
        <v>45792</v>
      </c>
      <c r="B365" s="30" t="s">
        <v>19</v>
      </c>
      <c r="C365" s="31" t="str">
        <f>VLOOKUP(B365,'Kode Data'!$B$3:$C$23,2,0)</f>
        <v>Bran Gandum</v>
      </c>
      <c r="D365" s="30" t="str">
        <f>VLOOKUP(LEFT(B365,2),'Kode Data'!$E$3:$G$6,3,0)</f>
        <v>Bahan Baku</v>
      </c>
      <c r="E365" s="31" t="s">
        <v>79</v>
      </c>
      <c r="F365" s="30">
        <v>350</v>
      </c>
      <c r="G365" s="30">
        <v>0</v>
      </c>
      <c r="H365" s="30">
        <v>1600</v>
      </c>
      <c r="I365" s="30">
        <v>1950</v>
      </c>
      <c r="J365" s="30" t="s">
        <v>87</v>
      </c>
      <c r="K365" s="32" t="s">
        <v>110</v>
      </c>
    </row>
    <row r="366" spans="1:11" ht="14.5" x14ac:dyDescent="0.35">
      <c r="A366" s="29">
        <v>45793</v>
      </c>
      <c r="B366" s="30" t="s">
        <v>64</v>
      </c>
      <c r="C366" s="31" t="str">
        <f>VLOOKUP(B366,'Kode Data'!$B$3:$C$23,2,0)</f>
        <v>Tepung Terigu Protein Rendah</v>
      </c>
      <c r="D366" s="30" t="str">
        <f>VLOOKUP(LEFT(B366,2),'Kode Data'!$E$3:$G$6,3,0)</f>
        <v>Produk</v>
      </c>
      <c r="E366" s="31" t="s">
        <v>89</v>
      </c>
      <c r="F366" s="30">
        <v>0</v>
      </c>
      <c r="G366" s="30">
        <v>650</v>
      </c>
      <c r="H366" s="30">
        <v>3050</v>
      </c>
      <c r="I366" s="30">
        <v>2400</v>
      </c>
      <c r="J366" s="30" t="s">
        <v>80</v>
      </c>
      <c r="K366" s="32" t="s">
        <v>90</v>
      </c>
    </row>
    <row r="367" spans="1:11" ht="14.5" x14ac:dyDescent="0.35">
      <c r="A367" s="33">
        <v>45793</v>
      </c>
      <c r="B367" s="30" t="s">
        <v>54</v>
      </c>
      <c r="C367" s="31" t="str">
        <f>VLOOKUP(B367,'Kode Data'!$B$3:$C$23,2,0)</f>
        <v>Karton Box</v>
      </c>
      <c r="D367" s="30" t="str">
        <f>VLOOKUP(LEFT(B367,2),'Kode Data'!$E$3:$G$6,3,0)</f>
        <v>Kemasan</v>
      </c>
      <c r="E367" s="31" t="s">
        <v>97</v>
      </c>
      <c r="F367" s="30">
        <v>600</v>
      </c>
      <c r="G367" s="30">
        <v>0</v>
      </c>
      <c r="H367" s="30">
        <v>8450</v>
      </c>
      <c r="I367" s="30">
        <v>9050</v>
      </c>
      <c r="J367" s="30" t="s">
        <v>80</v>
      </c>
      <c r="K367" s="32" t="s">
        <v>85</v>
      </c>
    </row>
    <row r="368" spans="1:11" ht="14.5" x14ac:dyDescent="0.35">
      <c r="A368" s="29">
        <v>45795</v>
      </c>
      <c r="B368" s="30" t="s">
        <v>26</v>
      </c>
      <c r="C368" s="31" t="str">
        <f>VLOOKUP(B368,'Kode Data'!$B$3:$C$23,2,0)</f>
        <v>Enzim Baking</v>
      </c>
      <c r="D368" s="30" t="str">
        <f>VLOOKUP(LEFT(B368,2),'Kode Data'!$E$3:$G$6,3,0)</f>
        <v>Bahan Tambahan</v>
      </c>
      <c r="E368" s="31" t="s">
        <v>100</v>
      </c>
      <c r="F368" s="30">
        <v>85</v>
      </c>
      <c r="G368" s="30">
        <v>0</v>
      </c>
      <c r="H368" s="30">
        <v>295</v>
      </c>
      <c r="I368" s="30">
        <v>380</v>
      </c>
      <c r="J368" s="30" t="s">
        <v>87</v>
      </c>
      <c r="K368" s="32" t="s">
        <v>116</v>
      </c>
    </row>
    <row r="369" spans="1:11" ht="14.5" x14ac:dyDescent="0.35">
      <c r="A369" s="29">
        <v>45795</v>
      </c>
      <c r="B369" s="30" t="s">
        <v>30</v>
      </c>
      <c r="C369" s="31" t="str">
        <f>VLOOKUP(B369,'Kode Data'!$B$3:$C$23,2,0)</f>
        <v>Vitamin Fortifikasi</v>
      </c>
      <c r="D369" s="30" t="str">
        <f>VLOOKUP(LEFT(B369,2),'Kode Data'!$E$3:$G$6,3,0)</f>
        <v>Bahan Tambahan</v>
      </c>
      <c r="E369" s="31" t="s">
        <v>101</v>
      </c>
      <c r="F369" s="30">
        <v>120</v>
      </c>
      <c r="G369" s="30">
        <v>0</v>
      </c>
      <c r="H369" s="30">
        <v>495</v>
      </c>
      <c r="I369" s="30">
        <v>615</v>
      </c>
      <c r="J369" s="30" t="s">
        <v>87</v>
      </c>
      <c r="K369" s="32" t="s">
        <v>116</v>
      </c>
    </row>
    <row r="370" spans="1:11" ht="14.5" x14ac:dyDescent="0.35">
      <c r="A370" s="29">
        <v>45795</v>
      </c>
      <c r="B370" s="30" t="s">
        <v>64</v>
      </c>
      <c r="C370" s="31" t="str">
        <f>VLOOKUP(B370,'Kode Data'!$B$3:$C$23,2,0)</f>
        <v>Tepung Terigu Protein Rendah</v>
      </c>
      <c r="D370" s="30" t="str">
        <f>VLOOKUP(LEFT(B370,2),'Kode Data'!$E$3:$G$6,3,0)</f>
        <v>Produk</v>
      </c>
      <c r="E370" s="31" t="s">
        <v>82</v>
      </c>
      <c r="F370" s="30">
        <v>600</v>
      </c>
      <c r="G370" s="30">
        <v>0</v>
      </c>
      <c r="H370" s="30">
        <v>2400</v>
      </c>
      <c r="I370" s="30">
        <v>3000</v>
      </c>
      <c r="J370" s="30" t="s">
        <v>80</v>
      </c>
      <c r="K370" s="32" t="s">
        <v>81</v>
      </c>
    </row>
    <row r="371" spans="1:11" ht="14.5" x14ac:dyDescent="0.35">
      <c r="A371" s="33">
        <v>45795</v>
      </c>
      <c r="B371" s="30" t="s">
        <v>9</v>
      </c>
      <c r="C371" s="31" t="str">
        <f>VLOOKUP(B371,'Kode Data'!$B$3:$C$23,2,0)</f>
        <v>Gandum Soft Wheat</v>
      </c>
      <c r="D371" s="30" t="str">
        <f>VLOOKUP(LEFT(B371,2),'Kode Data'!$E$3:$G$6,3,0)</f>
        <v>Bahan Baku</v>
      </c>
      <c r="E371" s="31" t="s">
        <v>79</v>
      </c>
      <c r="F371" s="30">
        <v>350</v>
      </c>
      <c r="G371" s="30">
        <v>0</v>
      </c>
      <c r="H371" s="30">
        <v>1900</v>
      </c>
      <c r="I371" s="30">
        <v>2250</v>
      </c>
      <c r="J371" s="30" t="s">
        <v>87</v>
      </c>
      <c r="K371" s="32" t="s">
        <v>110</v>
      </c>
    </row>
    <row r="372" spans="1:11" ht="14.5" x14ac:dyDescent="0.35">
      <c r="A372" s="29">
        <v>45796</v>
      </c>
      <c r="B372" s="30" t="s">
        <v>64</v>
      </c>
      <c r="C372" s="31" t="str">
        <f>VLOOKUP(B372,'Kode Data'!$B$3:$C$23,2,0)</f>
        <v>Tepung Terigu Protein Rendah</v>
      </c>
      <c r="D372" s="30" t="str">
        <f>VLOOKUP(LEFT(B372,2),'Kode Data'!$E$3:$G$6,3,0)</f>
        <v>Produk</v>
      </c>
      <c r="E372" s="31" t="s">
        <v>79</v>
      </c>
      <c r="F372" s="30">
        <v>0</v>
      </c>
      <c r="G372" s="30">
        <v>550</v>
      </c>
      <c r="H372" s="30">
        <v>3000</v>
      </c>
      <c r="I372" s="30">
        <v>2450</v>
      </c>
      <c r="J372" s="30" t="s">
        <v>80</v>
      </c>
      <c r="K372" s="32" t="s">
        <v>90</v>
      </c>
    </row>
    <row r="373" spans="1:11" ht="14.5" x14ac:dyDescent="0.35">
      <c r="A373" s="33">
        <v>45796</v>
      </c>
      <c r="B373" s="30" t="s">
        <v>56</v>
      </c>
      <c r="C373" s="31" t="str">
        <f>VLOOKUP(B373,'Kode Data'!$B$3:$C$23,2,0)</f>
        <v>Label Produk</v>
      </c>
      <c r="D373" s="30" t="str">
        <f>VLOOKUP(LEFT(B373,2),'Kode Data'!$E$3:$G$6,3,0)</f>
        <v>Kemasan</v>
      </c>
      <c r="E373" s="31" t="s">
        <v>120</v>
      </c>
      <c r="F373" s="30">
        <v>300</v>
      </c>
      <c r="G373" s="30">
        <v>0</v>
      </c>
      <c r="H373" s="30">
        <v>1700</v>
      </c>
      <c r="I373" s="30">
        <v>2000</v>
      </c>
      <c r="J373" s="30" t="s">
        <v>80</v>
      </c>
      <c r="K373" s="32" t="s">
        <v>85</v>
      </c>
    </row>
    <row r="374" spans="1:11" ht="14.5" x14ac:dyDescent="0.35">
      <c r="A374" s="29">
        <v>45797</v>
      </c>
      <c r="B374" s="30" t="s">
        <v>64</v>
      </c>
      <c r="C374" s="31" t="str">
        <f>VLOOKUP(B374,'Kode Data'!$B$3:$C$23,2,0)</f>
        <v>Tepung Terigu Protein Rendah</v>
      </c>
      <c r="D374" s="30" t="str">
        <f>VLOOKUP(LEFT(B374,2),'Kode Data'!$E$3:$G$6,3,0)</f>
        <v>Produk</v>
      </c>
      <c r="E374" s="31" t="s">
        <v>89</v>
      </c>
      <c r="F374" s="30">
        <v>650</v>
      </c>
      <c r="G374" s="30">
        <v>0</v>
      </c>
      <c r="H374" s="30">
        <v>2450</v>
      </c>
      <c r="I374" s="30">
        <v>3100</v>
      </c>
      <c r="J374" s="30" t="s">
        <v>80</v>
      </c>
      <c r="K374" s="32" t="s">
        <v>81</v>
      </c>
    </row>
    <row r="375" spans="1:11" ht="14.5" x14ac:dyDescent="0.35">
      <c r="A375" s="29">
        <v>45797</v>
      </c>
      <c r="B375" s="30" t="s">
        <v>66</v>
      </c>
      <c r="C375" s="31" t="str">
        <f>VLOOKUP(B375,'Kode Data'!$B$3:$C$23,2,0)</f>
        <v>Tepung Terigu Khusus Roti</v>
      </c>
      <c r="D375" s="30" t="str">
        <f>VLOOKUP(LEFT(B375,2),'Kode Data'!$E$3:$G$6,3,0)</f>
        <v>Produk</v>
      </c>
      <c r="E375" s="31" t="s">
        <v>82</v>
      </c>
      <c r="F375" s="30">
        <v>0</v>
      </c>
      <c r="G375" s="30">
        <v>350</v>
      </c>
      <c r="H375" s="30">
        <v>1850</v>
      </c>
      <c r="I375" s="30">
        <v>1500</v>
      </c>
      <c r="J375" s="30" t="s">
        <v>80</v>
      </c>
      <c r="K375" s="32" t="s">
        <v>90</v>
      </c>
    </row>
    <row r="376" spans="1:11" ht="14.5" x14ac:dyDescent="0.35">
      <c r="A376" s="33">
        <v>45797</v>
      </c>
      <c r="B376" s="30" t="s">
        <v>4</v>
      </c>
      <c r="C376" s="31" t="str">
        <f>VLOOKUP(B376,'Kode Data'!$B$3:$C$23,2,0)</f>
        <v>Gandum Hard Wheat</v>
      </c>
      <c r="D376" s="30" t="str">
        <f>VLOOKUP(LEFT(B376,2),'Kode Data'!$E$3:$G$6,3,0)</f>
        <v>Bahan Baku</v>
      </c>
      <c r="E376" s="31" t="s">
        <v>79</v>
      </c>
      <c r="F376" s="30">
        <v>600</v>
      </c>
      <c r="G376" s="30">
        <v>0</v>
      </c>
      <c r="H376" s="30">
        <v>2150</v>
      </c>
      <c r="I376" s="30">
        <v>2750</v>
      </c>
      <c r="J376" s="30" t="s">
        <v>87</v>
      </c>
      <c r="K376" s="32" t="s">
        <v>88</v>
      </c>
    </row>
    <row r="377" spans="1:11" ht="14.5" x14ac:dyDescent="0.35">
      <c r="A377" s="29">
        <v>45798</v>
      </c>
      <c r="B377" s="30" t="s">
        <v>34</v>
      </c>
      <c r="C377" s="31" t="str">
        <f>VLOOKUP(B377,'Kode Data'!$B$3:$C$23,2,0)</f>
        <v>Tepung Premix</v>
      </c>
      <c r="D377" s="30" t="str">
        <f>VLOOKUP(LEFT(B377,2),'Kode Data'!$E$3:$G$6,3,0)</f>
        <v>Bahan Tambahan</v>
      </c>
      <c r="E377" s="31" t="s">
        <v>82</v>
      </c>
      <c r="F377" s="30">
        <v>190</v>
      </c>
      <c r="G377" s="30">
        <v>0</v>
      </c>
      <c r="H377" s="30">
        <v>720</v>
      </c>
      <c r="I377" s="30">
        <v>910</v>
      </c>
      <c r="J377" s="30" t="s">
        <v>87</v>
      </c>
      <c r="K377" s="32" t="s">
        <v>96</v>
      </c>
    </row>
    <row r="378" spans="1:11" ht="14.5" x14ac:dyDescent="0.35">
      <c r="A378" s="29">
        <v>45798</v>
      </c>
      <c r="B378" s="30" t="s">
        <v>42</v>
      </c>
      <c r="C378" s="31" t="str">
        <f>VLOOKUP(B378,'Kode Data'!$B$3:$C$23,2,0)</f>
        <v>Calcium Propionate</v>
      </c>
      <c r="D378" s="30" t="str">
        <f>VLOOKUP(LEFT(B378,2),'Kode Data'!$E$3:$G$6,3,0)</f>
        <v>Bahan Tambahan</v>
      </c>
      <c r="E378" s="31" t="s">
        <v>121</v>
      </c>
      <c r="F378" s="30">
        <v>55</v>
      </c>
      <c r="G378" s="30">
        <v>0</v>
      </c>
      <c r="H378" s="30">
        <v>425</v>
      </c>
      <c r="I378" s="30">
        <v>480</v>
      </c>
      <c r="J378" s="30" t="s">
        <v>87</v>
      </c>
      <c r="K378" s="32" t="s">
        <v>116</v>
      </c>
    </row>
    <row r="379" spans="1:11" ht="14.5" x14ac:dyDescent="0.35">
      <c r="A379" s="29">
        <v>45798</v>
      </c>
      <c r="B379" s="30" t="s">
        <v>60</v>
      </c>
      <c r="C379" s="31" t="str">
        <f>VLOOKUP(B379,'Kode Data'!$B$3:$C$23,2,0)</f>
        <v>Tepung Terigu Protein Tinggi</v>
      </c>
      <c r="D379" s="30" t="str">
        <f>VLOOKUP(LEFT(B379,2),'Kode Data'!$E$3:$G$6,3,0)</f>
        <v>Produk</v>
      </c>
      <c r="E379" s="31" t="s">
        <v>102</v>
      </c>
      <c r="F379" s="30">
        <v>800</v>
      </c>
      <c r="G379" s="30">
        <v>0</v>
      </c>
      <c r="H379" s="30">
        <v>1200</v>
      </c>
      <c r="I379" s="30">
        <v>2000</v>
      </c>
      <c r="J379" s="30" t="s">
        <v>80</v>
      </c>
      <c r="K379" s="32" t="s">
        <v>81</v>
      </c>
    </row>
    <row r="380" spans="1:11" ht="14.5" x14ac:dyDescent="0.35">
      <c r="A380" s="29">
        <v>45798</v>
      </c>
      <c r="B380" s="30" t="s">
        <v>62</v>
      </c>
      <c r="C380" s="31" t="str">
        <f>VLOOKUP(B380,'Kode Data'!$B$3:$C$23,2,0)</f>
        <v>Tepung Terigu Serbaguna</v>
      </c>
      <c r="D380" s="30" t="str">
        <f>VLOOKUP(LEFT(B380,2),'Kode Data'!$E$3:$G$6,3,0)</f>
        <v>Produk</v>
      </c>
      <c r="E380" s="31" t="s">
        <v>82</v>
      </c>
      <c r="F380" s="30">
        <v>800</v>
      </c>
      <c r="G380" s="30">
        <v>0</v>
      </c>
      <c r="H380" s="30">
        <v>1200</v>
      </c>
      <c r="I380" s="30">
        <v>2000</v>
      </c>
      <c r="J380" s="30" t="s">
        <v>80</v>
      </c>
      <c r="K380" s="32" t="s">
        <v>81</v>
      </c>
    </row>
    <row r="381" spans="1:11" ht="14.5" x14ac:dyDescent="0.35">
      <c r="A381" s="29">
        <v>45798</v>
      </c>
      <c r="B381" s="30" t="s">
        <v>64</v>
      </c>
      <c r="C381" s="31" t="str">
        <f>VLOOKUP(B381,'Kode Data'!$B$3:$C$23,2,0)</f>
        <v>Tepung Terigu Protein Rendah</v>
      </c>
      <c r="D381" s="30" t="str">
        <f>VLOOKUP(LEFT(B381,2),'Kode Data'!$E$3:$G$6,3,0)</f>
        <v>Produk</v>
      </c>
      <c r="E381" s="31" t="s">
        <v>82</v>
      </c>
      <c r="F381" s="30">
        <v>0</v>
      </c>
      <c r="G381" s="30">
        <v>600</v>
      </c>
      <c r="H381" s="30">
        <v>3100</v>
      </c>
      <c r="I381" s="30">
        <v>2500</v>
      </c>
      <c r="J381" s="30" t="s">
        <v>80</v>
      </c>
      <c r="K381" s="32" t="s">
        <v>90</v>
      </c>
    </row>
    <row r="382" spans="1:11" ht="14.5" x14ac:dyDescent="0.35">
      <c r="A382" s="33">
        <v>45798</v>
      </c>
      <c r="B382" s="30" t="s">
        <v>58</v>
      </c>
      <c r="C382" s="31" t="str">
        <f>VLOOKUP(B382,'Kode Data'!$B$3:$C$23,2,0)</f>
        <v>Pallet Kayu</v>
      </c>
      <c r="D382" s="30" t="str">
        <f>VLOOKUP(LEFT(B382,2),'Kode Data'!$E$3:$G$6,3,0)</f>
        <v>Kemasan</v>
      </c>
      <c r="E382" s="31" t="s">
        <v>105</v>
      </c>
      <c r="F382" s="30">
        <v>50</v>
      </c>
      <c r="G382" s="30">
        <v>0</v>
      </c>
      <c r="H382" s="30">
        <v>200</v>
      </c>
      <c r="I382" s="30">
        <v>250</v>
      </c>
      <c r="J382" s="30" t="s">
        <v>80</v>
      </c>
      <c r="K382" s="32" t="s">
        <v>85</v>
      </c>
    </row>
    <row r="383" spans="1:11" ht="14.5" x14ac:dyDescent="0.35">
      <c r="A383" s="29">
        <v>45799</v>
      </c>
      <c r="B383" s="30" t="s">
        <v>38</v>
      </c>
      <c r="C383" s="31" t="str">
        <f>VLOOKUP(B383,'Kode Data'!$B$3:$C$23,2,0)</f>
        <v>Improver Tepung</v>
      </c>
      <c r="D383" s="30" t="str">
        <f>VLOOKUP(LEFT(B383,2),'Kode Data'!$E$3:$G$6,3,0)</f>
        <v>Bahan Tambahan</v>
      </c>
      <c r="E383" s="31" t="s">
        <v>95</v>
      </c>
      <c r="F383" s="30">
        <v>140</v>
      </c>
      <c r="G383" s="30">
        <v>0</v>
      </c>
      <c r="H383" s="30">
        <v>420</v>
      </c>
      <c r="I383" s="30">
        <v>560</v>
      </c>
      <c r="J383" s="30" t="s">
        <v>87</v>
      </c>
      <c r="K383" s="32" t="s">
        <v>116</v>
      </c>
    </row>
    <row r="384" spans="1:11" ht="14.5" x14ac:dyDescent="0.35">
      <c r="A384" s="29">
        <v>45799</v>
      </c>
      <c r="B384" s="30" t="s">
        <v>66</v>
      </c>
      <c r="C384" s="31" t="str">
        <f>VLOOKUP(B384,'Kode Data'!$B$3:$C$23,2,0)</f>
        <v>Tepung Terigu Khusus Roti</v>
      </c>
      <c r="D384" s="30" t="str">
        <f>VLOOKUP(LEFT(B384,2),'Kode Data'!$E$3:$G$6,3,0)</f>
        <v>Produk</v>
      </c>
      <c r="E384" s="31" t="s">
        <v>89</v>
      </c>
      <c r="F384" s="30">
        <v>500</v>
      </c>
      <c r="G384" s="30">
        <v>0</v>
      </c>
      <c r="H384" s="30">
        <v>1500</v>
      </c>
      <c r="I384" s="30">
        <v>2000</v>
      </c>
      <c r="J384" s="30" t="s">
        <v>80</v>
      </c>
      <c r="K384" s="32" t="s">
        <v>81</v>
      </c>
    </row>
    <row r="385" spans="1:11" ht="14.5" x14ac:dyDescent="0.35">
      <c r="A385" s="33">
        <v>45799</v>
      </c>
      <c r="B385" s="30" t="s">
        <v>24</v>
      </c>
      <c r="C385" s="31" t="str">
        <f>VLOOKUP(B385,'Kode Data'!$B$3:$C$23,2,0)</f>
        <v>Germ Gandum</v>
      </c>
      <c r="D385" s="30" t="str">
        <f>VLOOKUP(LEFT(B385,2),'Kode Data'!$E$3:$G$6,3,0)</f>
        <v>Bahan Baku</v>
      </c>
      <c r="E385" s="31" t="s">
        <v>79</v>
      </c>
      <c r="F385" s="30">
        <v>260</v>
      </c>
      <c r="G385" s="30">
        <v>0</v>
      </c>
      <c r="H385" s="30">
        <v>1330</v>
      </c>
      <c r="I385" s="30">
        <v>1590</v>
      </c>
      <c r="J385" s="30" t="s">
        <v>87</v>
      </c>
      <c r="K385" s="32" t="s">
        <v>110</v>
      </c>
    </row>
    <row r="386" spans="1:11" ht="14.5" x14ac:dyDescent="0.35">
      <c r="A386" s="33">
        <v>45800</v>
      </c>
      <c r="B386" s="30" t="s">
        <v>14</v>
      </c>
      <c r="C386" s="31" t="str">
        <f>VLOOKUP(B386,'Kode Data'!$B$3:$C$23,2,0)</f>
        <v>Gandum Durum</v>
      </c>
      <c r="D386" s="30" t="str">
        <f>VLOOKUP(LEFT(B386,2),'Kode Data'!$E$3:$G$6,3,0)</f>
        <v>Bahan Baku</v>
      </c>
      <c r="E386" s="31" t="s">
        <v>89</v>
      </c>
      <c r="F386" s="30">
        <v>350</v>
      </c>
      <c r="G386" s="30">
        <v>0</v>
      </c>
      <c r="H386" s="30">
        <v>1400</v>
      </c>
      <c r="I386" s="30">
        <v>1750</v>
      </c>
      <c r="J386" s="30" t="s">
        <v>87</v>
      </c>
      <c r="K386" s="32" t="s">
        <v>88</v>
      </c>
    </row>
    <row r="387" spans="1:11" ht="14.5" x14ac:dyDescent="0.35">
      <c r="A387" s="33">
        <v>45800</v>
      </c>
      <c r="B387" s="30" t="s">
        <v>19</v>
      </c>
      <c r="C387" s="31" t="str">
        <f>VLOOKUP(B387,'Kode Data'!$B$3:$C$23,2,0)</f>
        <v>Bran Gandum</v>
      </c>
      <c r="D387" s="30" t="str">
        <f>VLOOKUP(LEFT(B387,2),'Kode Data'!$E$3:$G$6,3,0)</f>
        <v>Bahan Baku</v>
      </c>
      <c r="E387" s="31" t="s">
        <v>98</v>
      </c>
      <c r="F387" s="30">
        <v>0</v>
      </c>
      <c r="G387" s="30">
        <v>250</v>
      </c>
      <c r="H387" s="30">
        <v>1950</v>
      </c>
      <c r="I387" s="30">
        <v>1700</v>
      </c>
      <c r="J387" s="30" t="s">
        <v>87</v>
      </c>
      <c r="K387" s="32" t="s">
        <v>104</v>
      </c>
    </row>
    <row r="388" spans="1:11" ht="14.5" x14ac:dyDescent="0.35">
      <c r="A388" s="33">
        <v>45802</v>
      </c>
      <c r="B388" s="30" t="s">
        <v>54</v>
      </c>
      <c r="C388" s="31" t="str">
        <f>VLOOKUP(B388,'Kode Data'!$B$3:$C$23,2,0)</f>
        <v>Karton Box</v>
      </c>
      <c r="D388" s="30" t="str">
        <f>VLOOKUP(LEFT(B388,2),'Kode Data'!$E$3:$G$6,3,0)</f>
        <v>Kemasan</v>
      </c>
      <c r="E388" s="31" t="s">
        <v>109</v>
      </c>
      <c r="F388" s="30">
        <v>0</v>
      </c>
      <c r="G388" s="30">
        <v>400</v>
      </c>
      <c r="H388" s="30">
        <v>9050</v>
      </c>
      <c r="I388" s="30">
        <v>8650</v>
      </c>
      <c r="J388" s="30" t="s">
        <v>80</v>
      </c>
      <c r="K388" s="32" t="s">
        <v>93</v>
      </c>
    </row>
    <row r="389" spans="1:11" ht="14.5" x14ac:dyDescent="0.35">
      <c r="A389" s="33">
        <v>45802</v>
      </c>
      <c r="B389" s="30" t="s">
        <v>4</v>
      </c>
      <c r="C389" s="31" t="str">
        <f>VLOOKUP(B389,'Kode Data'!$B$3:$C$23,2,0)</f>
        <v>Gandum Hard Wheat</v>
      </c>
      <c r="D389" s="30" t="str">
        <f>VLOOKUP(LEFT(B389,2),'Kode Data'!$E$3:$G$6,3,0)</f>
        <v>Bahan Baku</v>
      </c>
      <c r="E389" s="31" t="s">
        <v>98</v>
      </c>
      <c r="F389" s="30">
        <v>0</v>
      </c>
      <c r="G389" s="30">
        <v>500</v>
      </c>
      <c r="H389" s="30">
        <v>2750</v>
      </c>
      <c r="I389" s="30">
        <v>2250</v>
      </c>
      <c r="J389" s="30" t="s">
        <v>87</v>
      </c>
      <c r="K389" s="32" t="s">
        <v>104</v>
      </c>
    </row>
    <row r="390" spans="1:11" ht="14.5" x14ac:dyDescent="0.35">
      <c r="A390" s="29">
        <v>45803</v>
      </c>
      <c r="B390" s="30" t="s">
        <v>68</v>
      </c>
      <c r="C390" s="31" t="str">
        <f>VLOOKUP(B390,'Kode Data'!$B$3:$C$23,2,0)</f>
        <v>Tepung Terigu Khusus Kue</v>
      </c>
      <c r="D390" s="30" t="str">
        <f>VLOOKUP(LEFT(B390,2),'Kode Data'!$E$3:$G$6,3,0)</f>
        <v>Produk</v>
      </c>
      <c r="E390" s="31" t="s">
        <v>91</v>
      </c>
      <c r="F390" s="30">
        <v>600</v>
      </c>
      <c r="G390" s="30">
        <v>0</v>
      </c>
      <c r="H390" s="30">
        <v>2150</v>
      </c>
      <c r="I390" s="30">
        <v>2750</v>
      </c>
      <c r="J390" s="30" t="s">
        <v>80</v>
      </c>
      <c r="K390" s="32" t="s">
        <v>81</v>
      </c>
    </row>
    <row r="391" spans="1:11" ht="14.5" x14ac:dyDescent="0.35">
      <c r="A391" s="33">
        <v>45803</v>
      </c>
      <c r="B391" s="30" t="s">
        <v>9</v>
      </c>
      <c r="C391" s="31" t="str">
        <f>VLOOKUP(B391,'Kode Data'!$B$3:$C$23,2,0)</f>
        <v>Gandum Soft Wheat</v>
      </c>
      <c r="D391" s="30" t="str">
        <f>VLOOKUP(LEFT(B391,2),'Kode Data'!$E$3:$G$6,3,0)</f>
        <v>Bahan Baku</v>
      </c>
      <c r="E391" s="31" t="s">
        <v>89</v>
      </c>
      <c r="F391" s="30">
        <v>0</v>
      </c>
      <c r="G391" s="30">
        <v>300</v>
      </c>
      <c r="H391" s="30">
        <v>2250</v>
      </c>
      <c r="I391" s="30">
        <v>1950</v>
      </c>
      <c r="J391" s="30" t="s">
        <v>87</v>
      </c>
      <c r="K391" s="32" t="s">
        <v>104</v>
      </c>
    </row>
    <row r="392" spans="1:11" ht="14.5" x14ac:dyDescent="0.35">
      <c r="A392" s="29">
        <v>45804</v>
      </c>
      <c r="B392" s="30" t="s">
        <v>26</v>
      </c>
      <c r="C392" s="31" t="str">
        <f>VLOOKUP(B392,'Kode Data'!$B$3:$C$23,2,0)</f>
        <v>Enzim Baking</v>
      </c>
      <c r="D392" s="30" t="str">
        <f>VLOOKUP(LEFT(B392,2),'Kode Data'!$E$3:$G$6,3,0)</f>
        <v>Bahan Tambahan</v>
      </c>
      <c r="E392" s="31" t="s">
        <v>106</v>
      </c>
      <c r="F392" s="30">
        <v>0</v>
      </c>
      <c r="G392" s="30">
        <v>100</v>
      </c>
      <c r="H392" s="30">
        <v>380</v>
      </c>
      <c r="I392" s="30">
        <v>280</v>
      </c>
      <c r="J392" s="30" t="s">
        <v>87</v>
      </c>
      <c r="K392" s="32" t="s">
        <v>104</v>
      </c>
    </row>
    <row r="393" spans="1:11" ht="14.5" x14ac:dyDescent="0.35">
      <c r="A393" s="29">
        <v>45804</v>
      </c>
      <c r="B393" s="30" t="s">
        <v>68</v>
      </c>
      <c r="C393" s="31" t="str">
        <f>VLOOKUP(B393,'Kode Data'!$B$3:$C$23,2,0)</f>
        <v>Tepung Terigu Khusus Kue</v>
      </c>
      <c r="D393" s="30" t="str">
        <f>VLOOKUP(LEFT(B393,2),'Kode Data'!$E$3:$G$6,3,0)</f>
        <v>Produk</v>
      </c>
      <c r="E393" s="31" t="s">
        <v>89</v>
      </c>
      <c r="F393" s="30">
        <v>0</v>
      </c>
      <c r="G393" s="30">
        <v>500</v>
      </c>
      <c r="H393" s="30">
        <v>2750</v>
      </c>
      <c r="I393" s="30">
        <v>2250</v>
      </c>
      <c r="J393" s="30" t="s">
        <v>80</v>
      </c>
      <c r="K393" s="32" t="s">
        <v>90</v>
      </c>
    </row>
    <row r="394" spans="1:11" ht="14.5" x14ac:dyDescent="0.35">
      <c r="A394" s="33">
        <v>45804</v>
      </c>
      <c r="B394" s="30" t="s">
        <v>56</v>
      </c>
      <c r="C394" s="31" t="str">
        <f>VLOOKUP(B394,'Kode Data'!$B$3:$C$23,2,0)</f>
        <v>Label Produk</v>
      </c>
      <c r="D394" s="30" t="str">
        <f>VLOOKUP(LEFT(B394,2),'Kode Data'!$E$3:$G$6,3,0)</f>
        <v>Kemasan</v>
      </c>
      <c r="E394" s="31" t="s">
        <v>120</v>
      </c>
      <c r="F394" s="30">
        <v>0</v>
      </c>
      <c r="G394" s="30">
        <v>400</v>
      </c>
      <c r="H394" s="30">
        <v>2000</v>
      </c>
      <c r="I394" s="30">
        <v>1600</v>
      </c>
      <c r="J394" s="30" t="s">
        <v>80</v>
      </c>
      <c r="K394" s="32" t="s">
        <v>93</v>
      </c>
    </row>
    <row r="395" spans="1:11" ht="14.5" x14ac:dyDescent="0.35">
      <c r="A395" s="29">
        <v>45805</v>
      </c>
      <c r="B395" s="30" t="s">
        <v>30</v>
      </c>
      <c r="C395" s="31" t="str">
        <f>VLOOKUP(B395,'Kode Data'!$B$3:$C$23,2,0)</f>
        <v>Vitamin Fortifikasi</v>
      </c>
      <c r="D395" s="30" t="str">
        <f>VLOOKUP(LEFT(B395,2),'Kode Data'!$E$3:$G$6,3,0)</f>
        <v>Bahan Tambahan</v>
      </c>
      <c r="E395" s="31" t="s">
        <v>112</v>
      </c>
      <c r="F395" s="30">
        <v>0</v>
      </c>
      <c r="G395" s="30">
        <v>85</v>
      </c>
      <c r="H395" s="30">
        <v>615</v>
      </c>
      <c r="I395" s="30">
        <v>530</v>
      </c>
      <c r="J395" s="30" t="s">
        <v>87</v>
      </c>
      <c r="K395" s="32" t="s">
        <v>104</v>
      </c>
    </row>
    <row r="396" spans="1:11" ht="14.5" x14ac:dyDescent="0.35">
      <c r="A396" s="33">
        <v>45805</v>
      </c>
      <c r="B396" s="30" t="s">
        <v>58</v>
      </c>
      <c r="C396" s="31" t="str">
        <f>VLOOKUP(B396,'Kode Data'!$B$3:$C$23,2,0)</f>
        <v>Pallet Kayu</v>
      </c>
      <c r="D396" s="30" t="str">
        <f>VLOOKUP(LEFT(B396,2),'Kode Data'!$E$3:$G$6,3,0)</f>
        <v>Kemasan</v>
      </c>
      <c r="E396" s="31" t="s">
        <v>122</v>
      </c>
      <c r="F396" s="30">
        <v>0</v>
      </c>
      <c r="G396" s="30">
        <v>40</v>
      </c>
      <c r="H396" s="30">
        <v>250</v>
      </c>
      <c r="I396" s="30">
        <v>210</v>
      </c>
      <c r="J396" s="30" t="s">
        <v>80</v>
      </c>
      <c r="K396" s="32" t="s">
        <v>93</v>
      </c>
    </row>
    <row r="397" spans="1:11" ht="14.5" x14ac:dyDescent="0.35">
      <c r="A397" s="29">
        <v>45806</v>
      </c>
      <c r="B397" s="30" t="s">
        <v>34</v>
      </c>
      <c r="C397" s="31" t="str">
        <f>VLOOKUP(B397,'Kode Data'!$B$3:$C$23,2,0)</f>
        <v>Tepung Premix</v>
      </c>
      <c r="D397" s="30" t="str">
        <f>VLOOKUP(LEFT(B397,2),'Kode Data'!$E$3:$G$6,3,0)</f>
        <v>Bahan Tambahan</v>
      </c>
      <c r="E397" s="31" t="s">
        <v>79</v>
      </c>
      <c r="F397" s="30">
        <v>0</v>
      </c>
      <c r="G397" s="30">
        <v>150</v>
      </c>
      <c r="H397" s="30">
        <v>910</v>
      </c>
      <c r="I397" s="30">
        <v>760</v>
      </c>
      <c r="J397" s="30" t="s">
        <v>87</v>
      </c>
      <c r="K397" s="32" t="s">
        <v>104</v>
      </c>
    </row>
    <row r="398" spans="1:11" ht="14.5" x14ac:dyDescent="0.35">
      <c r="A398" s="29">
        <v>45806</v>
      </c>
      <c r="B398" s="30" t="s">
        <v>42</v>
      </c>
      <c r="C398" s="31" t="str">
        <f>VLOOKUP(B398,'Kode Data'!$B$3:$C$23,2,0)</f>
        <v>Calcium Propionate</v>
      </c>
      <c r="D398" s="30" t="str">
        <f>VLOOKUP(LEFT(B398,2),'Kode Data'!$E$3:$G$6,3,0)</f>
        <v>Bahan Tambahan</v>
      </c>
      <c r="E398" s="31" t="s">
        <v>95</v>
      </c>
      <c r="F398" s="30">
        <v>0</v>
      </c>
      <c r="G398" s="30">
        <v>30</v>
      </c>
      <c r="H398" s="30">
        <v>480</v>
      </c>
      <c r="I398" s="30">
        <v>450</v>
      </c>
      <c r="J398" s="30" t="s">
        <v>87</v>
      </c>
      <c r="K398" s="32" t="s">
        <v>104</v>
      </c>
    </row>
    <row r="399" spans="1:11" ht="14.5" x14ac:dyDescent="0.35">
      <c r="A399" s="29">
        <v>45806</v>
      </c>
      <c r="B399" s="30" t="s">
        <v>62</v>
      </c>
      <c r="C399" s="31" t="str">
        <f>VLOOKUP(B399,'Kode Data'!$B$3:$C$23,2,0)</f>
        <v>Tepung Terigu Serbaguna</v>
      </c>
      <c r="D399" s="30" t="str">
        <f>VLOOKUP(LEFT(B399,2),'Kode Data'!$E$3:$G$6,3,0)</f>
        <v>Produk</v>
      </c>
      <c r="E399" s="31" t="s">
        <v>79</v>
      </c>
      <c r="F399" s="30">
        <v>0</v>
      </c>
      <c r="G399" s="30">
        <v>500</v>
      </c>
      <c r="H399" s="30">
        <v>2000</v>
      </c>
      <c r="I399" s="30">
        <v>1500</v>
      </c>
      <c r="J399" s="30" t="s">
        <v>80</v>
      </c>
      <c r="K399" s="32" t="s">
        <v>90</v>
      </c>
    </row>
    <row r="400" spans="1:11" ht="14.5" x14ac:dyDescent="0.35">
      <c r="A400" s="29">
        <v>45806</v>
      </c>
      <c r="B400" s="30" t="s">
        <v>68</v>
      </c>
      <c r="C400" s="31" t="str">
        <f>VLOOKUP(B400,'Kode Data'!$B$3:$C$23,2,0)</f>
        <v>Tepung Terigu Khusus Kue</v>
      </c>
      <c r="D400" s="30" t="str">
        <f>VLOOKUP(LEFT(B400,2),'Kode Data'!$E$3:$G$6,3,0)</f>
        <v>Produk</v>
      </c>
      <c r="E400" s="31" t="s">
        <v>83</v>
      </c>
      <c r="F400" s="30">
        <v>550</v>
      </c>
      <c r="G400" s="30">
        <v>0</v>
      </c>
      <c r="H400" s="30">
        <v>2250</v>
      </c>
      <c r="I400" s="30">
        <v>2800</v>
      </c>
      <c r="J400" s="30" t="s">
        <v>80</v>
      </c>
      <c r="K400" s="32" t="s">
        <v>81</v>
      </c>
    </row>
    <row r="401" spans="1:11" ht="14.5" x14ac:dyDescent="0.35">
      <c r="A401" s="33">
        <v>45806</v>
      </c>
      <c r="B401" s="30" t="s">
        <v>4</v>
      </c>
      <c r="C401" s="31" t="str">
        <f>VLOOKUP(B401,'Kode Data'!$B$3:$C$23,2,0)</f>
        <v>Gandum Hard Wheat</v>
      </c>
      <c r="D401" s="30" t="str">
        <f>VLOOKUP(LEFT(B401,2),'Kode Data'!$E$3:$G$6,3,0)</f>
        <v>Bahan Baku</v>
      </c>
      <c r="E401" s="31" t="s">
        <v>89</v>
      </c>
      <c r="F401" s="30">
        <v>550</v>
      </c>
      <c r="G401" s="30">
        <v>0</v>
      </c>
      <c r="H401" s="30">
        <v>2250</v>
      </c>
      <c r="I401" s="30">
        <v>2800</v>
      </c>
      <c r="J401" s="30" t="s">
        <v>87</v>
      </c>
      <c r="K401" s="32" t="s">
        <v>110</v>
      </c>
    </row>
    <row r="402" spans="1:11" ht="14.5" x14ac:dyDescent="0.35">
      <c r="A402" s="29">
        <v>45807</v>
      </c>
      <c r="B402" s="30" t="s">
        <v>38</v>
      </c>
      <c r="C402" s="31" t="str">
        <f>VLOOKUP(B402,'Kode Data'!$B$3:$C$23,2,0)</f>
        <v>Improver Tepung</v>
      </c>
      <c r="D402" s="30" t="str">
        <f>VLOOKUP(LEFT(B402,2),'Kode Data'!$E$3:$G$6,3,0)</f>
        <v>Bahan Tambahan</v>
      </c>
      <c r="E402" s="31" t="s">
        <v>107</v>
      </c>
      <c r="F402" s="30">
        <v>0</v>
      </c>
      <c r="G402" s="30">
        <v>160</v>
      </c>
      <c r="H402" s="30">
        <v>560</v>
      </c>
      <c r="I402" s="30">
        <v>400</v>
      </c>
      <c r="J402" s="30" t="s">
        <v>87</v>
      </c>
      <c r="K402" s="32" t="s">
        <v>104</v>
      </c>
    </row>
    <row r="403" spans="1:11" ht="14.5" x14ac:dyDescent="0.35">
      <c r="A403" s="29">
        <v>45807</v>
      </c>
      <c r="B403" s="30" t="s">
        <v>60</v>
      </c>
      <c r="C403" s="31" t="str">
        <f>VLOOKUP(B403,'Kode Data'!$B$3:$C$23,2,0)</f>
        <v>Tepung Terigu Protein Tinggi</v>
      </c>
      <c r="D403" s="30" t="str">
        <f>VLOOKUP(LEFT(B403,2),'Kode Data'!$E$3:$G$6,3,0)</f>
        <v>Produk</v>
      </c>
      <c r="E403" s="31" t="s">
        <v>108</v>
      </c>
      <c r="F403" s="30">
        <v>0</v>
      </c>
      <c r="G403" s="30">
        <v>700</v>
      </c>
      <c r="H403" s="30">
        <v>2000</v>
      </c>
      <c r="I403" s="30">
        <v>1300</v>
      </c>
      <c r="J403" s="30" t="s">
        <v>80</v>
      </c>
      <c r="K403" s="32" t="s">
        <v>90</v>
      </c>
    </row>
    <row r="404" spans="1:11" ht="14.5" x14ac:dyDescent="0.35">
      <c r="A404" s="33">
        <v>45807</v>
      </c>
      <c r="B404" s="30" t="s">
        <v>24</v>
      </c>
      <c r="C404" s="31" t="str">
        <f>VLOOKUP(B404,'Kode Data'!$B$3:$C$23,2,0)</f>
        <v>Germ Gandum</v>
      </c>
      <c r="D404" s="30" t="str">
        <f>VLOOKUP(LEFT(B404,2),'Kode Data'!$E$3:$G$6,3,0)</f>
        <v>Bahan Baku</v>
      </c>
      <c r="E404" s="31" t="s">
        <v>79</v>
      </c>
      <c r="F404" s="30">
        <v>0</v>
      </c>
      <c r="G404" s="30">
        <v>190</v>
      </c>
      <c r="H404" s="30">
        <v>1590</v>
      </c>
      <c r="I404" s="30">
        <v>1400</v>
      </c>
      <c r="J404" s="30" t="s">
        <v>87</v>
      </c>
      <c r="K404" s="32" t="s">
        <v>104</v>
      </c>
    </row>
    <row r="405" spans="1:11" ht="14.5" x14ac:dyDescent="0.35">
      <c r="A405" s="33">
        <v>45809</v>
      </c>
      <c r="B405" s="30" t="s">
        <v>54</v>
      </c>
      <c r="C405" s="31" t="str">
        <f>VLOOKUP(B405,'Kode Data'!$B$3:$C$23,2,0)</f>
        <v>Karton Box</v>
      </c>
      <c r="D405" s="30" t="str">
        <f>VLOOKUP(LEFT(B405,2),'Kode Data'!$E$3:$G$6,3,0)</f>
        <v>Kemasan</v>
      </c>
      <c r="E405" s="31" t="s">
        <v>114</v>
      </c>
      <c r="F405" s="30">
        <v>1200</v>
      </c>
      <c r="G405" s="30">
        <v>0</v>
      </c>
      <c r="H405" s="30">
        <v>8650</v>
      </c>
      <c r="I405" s="30">
        <v>9850</v>
      </c>
      <c r="J405" s="30" t="s">
        <v>80</v>
      </c>
      <c r="K405" s="32" t="s">
        <v>85</v>
      </c>
    </row>
    <row r="406" spans="1:11" ht="14.5" x14ac:dyDescent="0.35">
      <c r="A406" s="33">
        <v>45809</v>
      </c>
      <c r="B406" s="30" t="s">
        <v>14</v>
      </c>
      <c r="C406" s="31" t="str">
        <f>VLOOKUP(B406,'Kode Data'!$B$3:$C$23,2,0)</f>
        <v>Gandum Durum</v>
      </c>
      <c r="D406" s="30" t="str">
        <f>VLOOKUP(LEFT(B406,2),'Kode Data'!$E$3:$G$6,3,0)</f>
        <v>Bahan Baku</v>
      </c>
      <c r="E406" s="31" t="s">
        <v>98</v>
      </c>
      <c r="F406" s="30">
        <v>0</v>
      </c>
      <c r="G406" s="30">
        <v>300</v>
      </c>
      <c r="H406" s="30">
        <v>1750</v>
      </c>
      <c r="I406" s="30">
        <v>1450</v>
      </c>
      <c r="J406" s="30" t="s">
        <v>87</v>
      </c>
      <c r="K406" s="32" t="s">
        <v>104</v>
      </c>
    </row>
    <row r="407" spans="1:11" ht="14.5" x14ac:dyDescent="0.35">
      <c r="A407" s="29">
        <v>45810</v>
      </c>
      <c r="B407" s="30" t="s">
        <v>34</v>
      </c>
      <c r="C407" s="31" t="str">
        <f>VLOOKUP(B407,'Kode Data'!$B$3:$C$23,2,0)</f>
        <v>Tepung Premix</v>
      </c>
      <c r="D407" s="30" t="str">
        <f>VLOOKUP(LEFT(B407,2),'Kode Data'!$E$3:$G$6,3,0)</f>
        <v>Bahan Tambahan</v>
      </c>
      <c r="E407" s="31" t="s">
        <v>89</v>
      </c>
      <c r="F407" s="30">
        <v>200</v>
      </c>
      <c r="G407" s="30">
        <v>0</v>
      </c>
      <c r="H407" s="30">
        <v>760</v>
      </c>
      <c r="I407" s="30">
        <v>960</v>
      </c>
      <c r="J407" s="30" t="s">
        <v>87</v>
      </c>
      <c r="K407" s="32" t="s">
        <v>96</v>
      </c>
    </row>
    <row r="408" spans="1:11" ht="14.5" x14ac:dyDescent="0.35">
      <c r="A408" s="33">
        <v>45810</v>
      </c>
      <c r="B408" s="30" t="s">
        <v>19</v>
      </c>
      <c r="C408" s="31" t="str">
        <f>VLOOKUP(B408,'Kode Data'!$B$3:$C$23,2,0)</f>
        <v>Bran Gandum</v>
      </c>
      <c r="D408" s="30" t="str">
        <f>VLOOKUP(LEFT(B408,2),'Kode Data'!$E$3:$G$6,3,0)</f>
        <v>Bahan Baku</v>
      </c>
      <c r="E408" s="31" t="s">
        <v>118</v>
      </c>
      <c r="F408" s="30">
        <v>450</v>
      </c>
      <c r="G408" s="30">
        <v>0</v>
      </c>
      <c r="H408" s="30">
        <v>1700</v>
      </c>
      <c r="I408" s="30">
        <v>2150</v>
      </c>
      <c r="J408" s="30" t="s">
        <v>87</v>
      </c>
      <c r="K408" s="32" t="s">
        <v>88</v>
      </c>
    </row>
    <row r="409" spans="1:11" ht="14.5" x14ac:dyDescent="0.35">
      <c r="A409" s="29">
        <v>45811</v>
      </c>
      <c r="B409" s="30" t="s">
        <v>26</v>
      </c>
      <c r="C409" s="31" t="str">
        <f>VLOOKUP(B409,'Kode Data'!$B$3:$C$23,2,0)</f>
        <v>Enzim Baking</v>
      </c>
      <c r="D409" s="30" t="str">
        <f>VLOOKUP(LEFT(B409,2),'Kode Data'!$E$3:$G$6,3,0)</f>
        <v>Bahan Tambahan</v>
      </c>
      <c r="E409" s="31" t="s">
        <v>115</v>
      </c>
      <c r="F409" s="30">
        <v>110</v>
      </c>
      <c r="G409" s="30">
        <v>0</v>
      </c>
      <c r="H409" s="30">
        <v>280</v>
      </c>
      <c r="I409" s="30">
        <v>390</v>
      </c>
      <c r="J409" s="30" t="s">
        <v>87</v>
      </c>
      <c r="K409" s="32" t="s">
        <v>96</v>
      </c>
    </row>
    <row r="410" spans="1:11" ht="14.5" x14ac:dyDescent="0.35">
      <c r="A410" s="29">
        <v>45811</v>
      </c>
      <c r="B410" s="30" t="s">
        <v>42</v>
      </c>
      <c r="C410" s="31" t="str">
        <f>VLOOKUP(B410,'Kode Data'!$B$3:$C$23,2,0)</f>
        <v>Calcium Propionate</v>
      </c>
      <c r="D410" s="30" t="str">
        <f>VLOOKUP(LEFT(B410,2),'Kode Data'!$E$3:$G$6,3,0)</f>
        <v>Bahan Tambahan</v>
      </c>
      <c r="E410" s="31" t="s">
        <v>111</v>
      </c>
      <c r="F410" s="30">
        <v>50</v>
      </c>
      <c r="G410" s="30">
        <v>0</v>
      </c>
      <c r="H410" s="30">
        <v>450</v>
      </c>
      <c r="I410" s="30">
        <v>500</v>
      </c>
      <c r="J410" s="30" t="s">
        <v>87</v>
      </c>
      <c r="K410" s="32" t="s">
        <v>116</v>
      </c>
    </row>
    <row r="411" spans="1:11" ht="14.5" x14ac:dyDescent="0.35">
      <c r="A411" s="29">
        <v>45811</v>
      </c>
      <c r="B411" s="30" t="s">
        <v>50</v>
      </c>
      <c r="C411" s="31" t="str">
        <f>VLOOKUP(B411,'Kode Data'!$B$3:$C$23,2,0)</f>
        <v>Plastik Kemasan 1 Kg</v>
      </c>
      <c r="D411" s="30" t="str">
        <f>VLOOKUP(LEFT(B411,2),'Kode Data'!$E$3:$G$6,3,0)</f>
        <v>Kemasan</v>
      </c>
      <c r="E411" s="31" t="s">
        <v>92</v>
      </c>
      <c r="F411" s="30">
        <v>1200</v>
      </c>
      <c r="G411" s="30">
        <v>0</v>
      </c>
      <c r="H411" s="30">
        <v>8800</v>
      </c>
      <c r="I411" s="30">
        <v>10000</v>
      </c>
      <c r="J411" s="30" t="s">
        <v>80</v>
      </c>
      <c r="K411" s="32" t="s">
        <v>85</v>
      </c>
    </row>
    <row r="412" spans="1:11" ht="14.5" x14ac:dyDescent="0.35">
      <c r="A412" s="33">
        <v>45811</v>
      </c>
      <c r="B412" s="30" t="s">
        <v>56</v>
      </c>
      <c r="C412" s="31" t="str">
        <f>VLOOKUP(B412,'Kode Data'!$B$3:$C$23,2,0)</f>
        <v>Label Produk</v>
      </c>
      <c r="D412" s="30" t="str">
        <f>VLOOKUP(LEFT(B412,2),'Kode Data'!$E$3:$G$6,3,0)</f>
        <v>Kemasan</v>
      </c>
      <c r="E412" s="31" t="s">
        <v>124</v>
      </c>
      <c r="F412" s="30">
        <v>600</v>
      </c>
      <c r="G412" s="30">
        <v>0</v>
      </c>
      <c r="H412" s="30">
        <v>1600</v>
      </c>
      <c r="I412" s="30">
        <v>2200</v>
      </c>
      <c r="J412" s="30" t="s">
        <v>80</v>
      </c>
      <c r="K412" s="32" t="s">
        <v>85</v>
      </c>
    </row>
    <row r="413" spans="1:11" ht="14.5" x14ac:dyDescent="0.35">
      <c r="A413" s="33">
        <v>45811</v>
      </c>
      <c r="B413" s="30" t="s">
        <v>9</v>
      </c>
      <c r="C413" s="31" t="str">
        <f>VLOOKUP(B413,'Kode Data'!$B$3:$C$23,2,0)</f>
        <v>Gandum Soft Wheat</v>
      </c>
      <c r="D413" s="30" t="str">
        <f>VLOOKUP(LEFT(B413,2),'Kode Data'!$E$3:$G$6,3,0)</f>
        <v>Bahan Baku</v>
      </c>
      <c r="E413" s="31" t="s">
        <v>98</v>
      </c>
      <c r="F413" s="30">
        <v>400</v>
      </c>
      <c r="G413" s="30">
        <v>0</v>
      </c>
      <c r="H413" s="30">
        <v>1950</v>
      </c>
      <c r="I413" s="30">
        <v>2350</v>
      </c>
      <c r="J413" s="30" t="s">
        <v>87</v>
      </c>
      <c r="K413" s="32" t="s">
        <v>88</v>
      </c>
    </row>
    <row r="414" spans="1:11" ht="14.5" x14ac:dyDescent="0.35">
      <c r="A414" s="29">
        <v>45812</v>
      </c>
      <c r="B414" s="30" t="s">
        <v>46</v>
      </c>
      <c r="C414" s="31" t="str">
        <f>VLOOKUP(B414,'Kode Data'!$B$3:$C$23,2,0)</f>
        <v>Karung Kemasan 25 Kg</v>
      </c>
      <c r="D414" s="30" t="str">
        <f>VLOOKUP(LEFT(B414,2),'Kode Data'!$E$3:$G$6,3,0)</f>
        <v>Kemasan</v>
      </c>
      <c r="E414" s="31" t="s">
        <v>86</v>
      </c>
      <c r="F414" s="30">
        <v>0</v>
      </c>
      <c r="G414" s="30">
        <v>180</v>
      </c>
      <c r="H414" s="30">
        <v>2850</v>
      </c>
      <c r="I414" s="30">
        <v>2670</v>
      </c>
      <c r="J414" s="30" t="s">
        <v>80</v>
      </c>
      <c r="K414" s="32" t="s">
        <v>93</v>
      </c>
    </row>
    <row r="415" spans="1:11" ht="14.5" x14ac:dyDescent="0.35">
      <c r="A415" s="33">
        <v>45812</v>
      </c>
      <c r="B415" s="30" t="s">
        <v>24</v>
      </c>
      <c r="C415" s="31" t="str">
        <f>VLOOKUP(B415,'Kode Data'!$B$3:$C$23,2,0)</f>
        <v>Germ Gandum</v>
      </c>
      <c r="D415" s="30" t="str">
        <f>VLOOKUP(LEFT(B415,2),'Kode Data'!$E$3:$G$6,3,0)</f>
        <v>Bahan Baku</v>
      </c>
      <c r="E415" s="31" t="s">
        <v>89</v>
      </c>
      <c r="F415" s="30">
        <v>300</v>
      </c>
      <c r="G415" s="30">
        <v>0</v>
      </c>
      <c r="H415" s="30">
        <v>1400</v>
      </c>
      <c r="I415" s="30">
        <v>1700</v>
      </c>
      <c r="J415" s="30" t="s">
        <v>87</v>
      </c>
      <c r="K415" s="32" t="s">
        <v>88</v>
      </c>
    </row>
    <row r="416" spans="1:11" ht="14.5" x14ac:dyDescent="0.35">
      <c r="A416" s="29">
        <v>45813</v>
      </c>
      <c r="B416" s="30" t="s">
        <v>38</v>
      </c>
      <c r="C416" s="31" t="str">
        <f>VLOOKUP(B416,'Kode Data'!$B$3:$C$23,2,0)</f>
        <v>Improver Tepung</v>
      </c>
      <c r="D416" s="30" t="str">
        <f>VLOOKUP(LEFT(B416,2),'Kode Data'!$E$3:$G$6,3,0)</f>
        <v>Bahan Tambahan</v>
      </c>
      <c r="E416" s="31" t="s">
        <v>117</v>
      </c>
      <c r="F416" s="30">
        <v>150</v>
      </c>
      <c r="G416" s="30">
        <v>0</v>
      </c>
      <c r="H416" s="30">
        <v>400</v>
      </c>
      <c r="I416" s="30">
        <v>550</v>
      </c>
      <c r="J416" s="30" t="s">
        <v>87</v>
      </c>
      <c r="K416" s="32" t="s">
        <v>96</v>
      </c>
    </row>
    <row r="417" spans="1:11" ht="14.5" x14ac:dyDescent="0.35">
      <c r="A417" s="29">
        <v>45813</v>
      </c>
      <c r="B417" s="30" t="s">
        <v>62</v>
      </c>
      <c r="C417" s="31" t="str">
        <f>VLOOKUP(B417,'Kode Data'!$B$3:$C$23,2,0)</f>
        <v>Tepung Terigu Serbaguna</v>
      </c>
      <c r="D417" s="30" t="str">
        <f>VLOOKUP(LEFT(B417,2),'Kode Data'!$E$3:$G$6,3,0)</f>
        <v>Produk</v>
      </c>
      <c r="E417" s="31" t="s">
        <v>89</v>
      </c>
      <c r="F417" s="30">
        <v>600</v>
      </c>
      <c r="G417" s="30">
        <v>0</v>
      </c>
      <c r="H417" s="30">
        <v>1500</v>
      </c>
      <c r="I417" s="30">
        <v>2100</v>
      </c>
      <c r="J417" s="30" t="s">
        <v>80</v>
      </c>
      <c r="K417" s="32" t="s">
        <v>81</v>
      </c>
    </row>
    <row r="418" spans="1:11" ht="14.5" x14ac:dyDescent="0.35">
      <c r="A418" s="29">
        <v>45813</v>
      </c>
      <c r="B418" s="30" t="s">
        <v>50</v>
      </c>
      <c r="C418" s="31" t="str">
        <f>VLOOKUP(B418,'Kode Data'!$B$3:$C$23,2,0)</f>
        <v>Plastik Kemasan 1 Kg</v>
      </c>
      <c r="D418" s="30" t="str">
        <f>VLOOKUP(LEFT(B418,2),'Kode Data'!$E$3:$G$6,3,0)</f>
        <v>Kemasan</v>
      </c>
      <c r="E418" s="31" t="s">
        <v>99</v>
      </c>
      <c r="F418" s="30">
        <v>0</v>
      </c>
      <c r="G418" s="30">
        <v>700</v>
      </c>
      <c r="H418" s="30">
        <v>10000</v>
      </c>
      <c r="I418" s="30">
        <v>9300</v>
      </c>
      <c r="J418" s="30" t="s">
        <v>80</v>
      </c>
      <c r="K418" s="32" t="s">
        <v>93</v>
      </c>
    </row>
    <row r="419" spans="1:11" ht="14.5" x14ac:dyDescent="0.35">
      <c r="A419" s="33">
        <v>45813</v>
      </c>
      <c r="B419" s="30" t="s">
        <v>4</v>
      </c>
      <c r="C419" s="31" t="str">
        <f>VLOOKUP(B419,'Kode Data'!$B$3:$C$23,2,0)</f>
        <v>Gandum Hard Wheat</v>
      </c>
      <c r="D419" s="30" t="str">
        <f>VLOOKUP(LEFT(B419,2),'Kode Data'!$E$3:$G$6,3,0)</f>
        <v>Bahan Baku</v>
      </c>
      <c r="E419" s="31" t="s">
        <v>79</v>
      </c>
      <c r="F419" s="30">
        <v>0</v>
      </c>
      <c r="G419" s="30">
        <v>450</v>
      </c>
      <c r="H419" s="30">
        <v>2800</v>
      </c>
      <c r="I419" s="30">
        <v>2350</v>
      </c>
      <c r="J419" s="30" t="s">
        <v>87</v>
      </c>
      <c r="K419" s="32" t="s">
        <v>104</v>
      </c>
    </row>
    <row r="420" spans="1:11" ht="14.5" x14ac:dyDescent="0.35">
      <c r="A420" s="29">
        <v>45814</v>
      </c>
      <c r="B420" s="30" t="s">
        <v>46</v>
      </c>
      <c r="C420" s="31" t="str">
        <f>VLOOKUP(B420,'Kode Data'!$B$3:$C$23,2,0)</f>
        <v>Karung Kemasan 25 Kg</v>
      </c>
      <c r="D420" s="30" t="str">
        <f>VLOOKUP(LEFT(B420,2),'Kode Data'!$E$3:$G$6,3,0)</f>
        <v>Kemasan</v>
      </c>
      <c r="E420" s="31" t="s">
        <v>97</v>
      </c>
      <c r="F420" s="30">
        <v>400</v>
      </c>
      <c r="G420" s="30">
        <v>0</v>
      </c>
      <c r="H420" s="30">
        <v>2670</v>
      </c>
      <c r="I420" s="30">
        <v>3070</v>
      </c>
      <c r="J420" s="30" t="s">
        <v>80</v>
      </c>
      <c r="K420" s="32" t="s">
        <v>85</v>
      </c>
    </row>
    <row r="421" spans="1:11" ht="14.5" x14ac:dyDescent="0.35">
      <c r="A421" s="33">
        <v>45814</v>
      </c>
      <c r="B421" s="30" t="s">
        <v>58</v>
      </c>
      <c r="C421" s="31" t="str">
        <f>VLOOKUP(B421,'Kode Data'!$B$3:$C$23,2,0)</f>
        <v>Pallet Kayu</v>
      </c>
      <c r="D421" s="30" t="str">
        <f>VLOOKUP(LEFT(B421,2),'Kode Data'!$E$3:$G$6,3,0)</f>
        <v>Kemasan</v>
      </c>
      <c r="E421" s="31" t="s">
        <v>94</v>
      </c>
      <c r="F421" s="30">
        <v>60</v>
      </c>
      <c r="G421" s="30">
        <v>0</v>
      </c>
      <c r="H421" s="30">
        <v>210</v>
      </c>
      <c r="I421" s="30">
        <v>270</v>
      </c>
      <c r="J421" s="30" t="s">
        <v>80</v>
      </c>
      <c r="K421" s="32" t="s">
        <v>85</v>
      </c>
    </row>
    <row r="422" spans="1:11" ht="14.5" x14ac:dyDescent="0.35">
      <c r="A422" s="29">
        <v>45815</v>
      </c>
      <c r="B422" s="30" t="s">
        <v>30</v>
      </c>
      <c r="C422" s="31" t="str">
        <f>VLOOKUP(B422,'Kode Data'!$B$3:$C$23,2,0)</f>
        <v>Vitamin Fortifikasi</v>
      </c>
      <c r="D422" s="30" t="str">
        <f>VLOOKUP(LEFT(B422,2),'Kode Data'!$E$3:$G$6,3,0)</f>
        <v>Bahan Tambahan</v>
      </c>
      <c r="E422" s="31" t="s">
        <v>119</v>
      </c>
      <c r="F422" s="30">
        <v>130</v>
      </c>
      <c r="G422" s="30">
        <v>0</v>
      </c>
      <c r="H422" s="30">
        <v>530</v>
      </c>
      <c r="I422" s="30">
        <v>660</v>
      </c>
      <c r="J422" s="30" t="s">
        <v>87</v>
      </c>
      <c r="K422" s="32" t="s">
        <v>96</v>
      </c>
    </row>
    <row r="423" spans="1:11" ht="14.5" x14ac:dyDescent="0.35">
      <c r="A423" s="29">
        <v>45815</v>
      </c>
      <c r="B423" s="30" t="s">
        <v>60</v>
      </c>
      <c r="C423" s="31" t="str">
        <f>VLOOKUP(B423,'Kode Data'!$B$3:$C$23,2,0)</f>
        <v>Tepung Terigu Protein Tinggi</v>
      </c>
      <c r="D423" s="30" t="str">
        <f>VLOOKUP(LEFT(B423,2),'Kode Data'!$E$3:$G$6,3,0)</f>
        <v>Produk</v>
      </c>
      <c r="E423" s="31" t="s">
        <v>113</v>
      </c>
      <c r="F423" s="30">
        <v>600</v>
      </c>
      <c r="G423" s="30">
        <v>0</v>
      </c>
      <c r="H423" s="30">
        <v>1300</v>
      </c>
      <c r="I423" s="30">
        <v>1900</v>
      </c>
      <c r="J423" s="30" t="s">
        <v>80</v>
      </c>
      <c r="K423" s="32" t="s">
        <v>81</v>
      </c>
    </row>
    <row r="424" spans="1:11" ht="14.5" x14ac:dyDescent="0.35">
      <c r="A424" s="33">
        <v>45816</v>
      </c>
      <c r="B424" s="30" t="s">
        <v>54</v>
      </c>
      <c r="C424" s="31" t="str">
        <f>VLOOKUP(B424,'Kode Data'!$B$3:$C$23,2,0)</f>
        <v>Karton Box</v>
      </c>
      <c r="D424" s="30" t="str">
        <f>VLOOKUP(LEFT(B424,2),'Kode Data'!$E$3:$G$6,3,0)</f>
        <v>Kemasan</v>
      </c>
      <c r="E424" s="31" t="s">
        <v>97</v>
      </c>
      <c r="F424" s="30">
        <v>0</v>
      </c>
      <c r="G424" s="30">
        <v>600</v>
      </c>
      <c r="H424" s="30">
        <v>9850</v>
      </c>
      <c r="I424" s="30">
        <v>9250</v>
      </c>
      <c r="J424" s="30" t="s">
        <v>80</v>
      </c>
      <c r="K424" s="32" t="s">
        <v>93</v>
      </c>
    </row>
    <row r="425" spans="1:11" ht="14.5" x14ac:dyDescent="0.35">
      <c r="A425" s="29">
        <v>45817</v>
      </c>
      <c r="B425" s="30" t="s">
        <v>46</v>
      </c>
      <c r="C425" s="31" t="str">
        <f>VLOOKUP(B425,'Kode Data'!$B$3:$C$23,2,0)</f>
        <v>Karung Kemasan 25 Kg</v>
      </c>
      <c r="D425" s="30" t="str">
        <f>VLOOKUP(LEFT(B425,2),'Kode Data'!$E$3:$G$6,3,0)</f>
        <v>Kemasan</v>
      </c>
      <c r="E425" s="31" t="s">
        <v>84</v>
      </c>
      <c r="F425" s="30">
        <v>0</v>
      </c>
      <c r="G425" s="30">
        <v>220</v>
      </c>
      <c r="H425" s="30">
        <v>3070</v>
      </c>
      <c r="I425" s="30">
        <v>2850</v>
      </c>
      <c r="J425" s="30" t="s">
        <v>80</v>
      </c>
      <c r="K425" s="32" t="s">
        <v>93</v>
      </c>
    </row>
    <row r="426" spans="1:11" ht="14.5" x14ac:dyDescent="0.35">
      <c r="A426" s="33">
        <v>45817</v>
      </c>
      <c r="B426" s="30" t="s">
        <v>14</v>
      </c>
      <c r="C426" s="31" t="str">
        <f>VLOOKUP(B426,'Kode Data'!$B$3:$C$23,2,0)</f>
        <v>Gandum Durum</v>
      </c>
      <c r="D426" s="30" t="str">
        <f>VLOOKUP(LEFT(B426,2),'Kode Data'!$E$3:$G$6,3,0)</f>
        <v>Bahan Baku</v>
      </c>
      <c r="E426" s="31" t="s">
        <v>79</v>
      </c>
      <c r="F426" s="30">
        <v>280</v>
      </c>
      <c r="G426" s="30">
        <v>0</v>
      </c>
      <c r="H426" s="30">
        <v>1450</v>
      </c>
      <c r="I426" s="30">
        <v>1730</v>
      </c>
      <c r="J426" s="30" t="s">
        <v>87</v>
      </c>
      <c r="K426" s="32" t="s">
        <v>110</v>
      </c>
    </row>
    <row r="427" spans="1:11" ht="14.5" x14ac:dyDescent="0.35">
      <c r="A427" s="33">
        <v>45817</v>
      </c>
      <c r="B427" s="30" t="s">
        <v>19</v>
      </c>
      <c r="C427" s="31" t="str">
        <f>VLOOKUP(B427,'Kode Data'!$B$3:$C$23,2,0)</f>
        <v>Bran Gandum</v>
      </c>
      <c r="D427" s="30" t="str">
        <f>VLOOKUP(LEFT(B427,2),'Kode Data'!$E$3:$G$6,3,0)</f>
        <v>Bahan Baku</v>
      </c>
      <c r="E427" s="31" t="s">
        <v>79</v>
      </c>
      <c r="F427" s="30">
        <v>0</v>
      </c>
      <c r="G427" s="30">
        <v>350</v>
      </c>
      <c r="H427" s="30">
        <v>2150</v>
      </c>
      <c r="I427" s="30">
        <v>1800</v>
      </c>
      <c r="J427" s="30" t="s">
        <v>87</v>
      </c>
      <c r="K427" s="32" t="s">
        <v>104</v>
      </c>
    </row>
    <row r="428" spans="1:11" ht="14.5" x14ac:dyDescent="0.35">
      <c r="A428" s="29">
        <v>45818</v>
      </c>
      <c r="B428" s="30" t="s">
        <v>34</v>
      </c>
      <c r="C428" s="31" t="str">
        <f>VLOOKUP(B428,'Kode Data'!$B$3:$C$23,2,0)</f>
        <v>Tepung Premix</v>
      </c>
      <c r="D428" s="30" t="str">
        <f>VLOOKUP(LEFT(B428,2),'Kode Data'!$E$3:$G$6,3,0)</f>
        <v>Bahan Tambahan</v>
      </c>
      <c r="E428" s="31" t="s">
        <v>82</v>
      </c>
      <c r="F428" s="30">
        <v>0</v>
      </c>
      <c r="G428" s="30">
        <v>210</v>
      </c>
      <c r="H428" s="30">
        <v>960</v>
      </c>
      <c r="I428" s="30">
        <v>750</v>
      </c>
      <c r="J428" s="30" t="s">
        <v>87</v>
      </c>
      <c r="K428" s="32" t="s">
        <v>104</v>
      </c>
    </row>
    <row r="429" spans="1:11" ht="14.5" x14ac:dyDescent="0.35">
      <c r="A429" s="29">
        <v>45818</v>
      </c>
      <c r="B429" s="30" t="s">
        <v>42</v>
      </c>
      <c r="C429" s="31" t="str">
        <f>VLOOKUP(B429,'Kode Data'!$B$3:$C$23,2,0)</f>
        <v>Calcium Propionate</v>
      </c>
      <c r="D429" s="30" t="str">
        <f>VLOOKUP(LEFT(B429,2),'Kode Data'!$E$3:$G$6,3,0)</f>
        <v>Bahan Tambahan</v>
      </c>
      <c r="E429" s="31" t="s">
        <v>121</v>
      </c>
      <c r="F429" s="30">
        <v>0</v>
      </c>
      <c r="G429" s="30">
        <v>25</v>
      </c>
      <c r="H429" s="30">
        <v>500</v>
      </c>
      <c r="I429" s="30">
        <v>475</v>
      </c>
      <c r="J429" s="30" t="s">
        <v>87</v>
      </c>
      <c r="K429" s="32" t="s">
        <v>104</v>
      </c>
    </row>
    <row r="430" spans="1:11" ht="14.5" x14ac:dyDescent="0.35">
      <c r="A430" s="33">
        <v>45818</v>
      </c>
      <c r="B430" s="30" t="s">
        <v>56</v>
      </c>
      <c r="C430" s="31" t="str">
        <f>VLOOKUP(B430,'Kode Data'!$B$3:$C$23,2,0)</f>
        <v>Label Produk</v>
      </c>
      <c r="D430" s="30" t="str">
        <f>VLOOKUP(LEFT(B430,2),'Kode Data'!$E$3:$G$6,3,0)</f>
        <v>Kemasan</v>
      </c>
      <c r="E430" s="31" t="s">
        <v>124</v>
      </c>
      <c r="F430" s="30">
        <v>0</v>
      </c>
      <c r="G430" s="30">
        <v>500</v>
      </c>
      <c r="H430" s="30">
        <v>2200</v>
      </c>
      <c r="I430" s="30">
        <v>1700</v>
      </c>
      <c r="J430" s="30" t="s">
        <v>80</v>
      </c>
      <c r="K430" s="32" t="s">
        <v>93</v>
      </c>
    </row>
    <row r="431" spans="1:11" ht="14.5" x14ac:dyDescent="0.35">
      <c r="A431" s="33">
        <v>45818</v>
      </c>
      <c r="B431" s="30" t="s">
        <v>24</v>
      </c>
      <c r="C431" s="31" t="str">
        <f>VLOOKUP(B431,'Kode Data'!$B$3:$C$23,2,0)</f>
        <v>Germ Gandum</v>
      </c>
      <c r="D431" s="30" t="str">
        <f>VLOOKUP(LEFT(B431,2),'Kode Data'!$E$3:$G$6,3,0)</f>
        <v>Bahan Baku</v>
      </c>
      <c r="E431" s="31" t="s">
        <v>89</v>
      </c>
      <c r="F431" s="30">
        <v>0</v>
      </c>
      <c r="G431" s="30">
        <v>210</v>
      </c>
      <c r="H431" s="30">
        <v>1700</v>
      </c>
      <c r="I431" s="30">
        <v>1490</v>
      </c>
      <c r="J431" s="30" t="s">
        <v>87</v>
      </c>
      <c r="K431" s="32" t="s">
        <v>104</v>
      </c>
    </row>
    <row r="432" spans="1:11" ht="14.5" x14ac:dyDescent="0.35">
      <c r="A432" s="29">
        <v>45819</v>
      </c>
      <c r="B432" s="30" t="s">
        <v>26</v>
      </c>
      <c r="C432" s="31" t="str">
        <f>VLOOKUP(B432,'Kode Data'!$B$3:$C$23,2,0)</f>
        <v>Enzim Baking</v>
      </c>
      <c r="D432" s="30" t="str">
        <f>VLOOKUP(LEFT(B432,2),'Kode Data'!$E$3:$G$6,3,0)</f>
        <v>Bahan Tambahan</v>
      </c>
      <c r="E432" s="31" t="s">
        <v>100</v>
      </c>
      <c r="F432" s="30">
        <v>0</v>
      </c>
      <c r="G432" s="30">
        <v>120</v>
      </c>
      <c r="H432" s="30">
        <v>390</v>
      </c>
      <c r="I432" s="30">
        <v>270</v>
      </c>
      <c r="J432" s="30" t="s">
        <v>87</v>
      </c>
      <c r="K432" s="32" t="s">
        <v>104</v>
      </c>
    </row>
    <row r="433" spans="1:11" ht="14.5" x14ac:dyDescent="0.35">
      <c r="A433" s="33">
        <v>45819</v>
      </c>
      <c r="B433" s="30" t="s">
        <v>9</v>
      </c>
      <c r="C433" s="31" t="str">
        <f>VLOOKUP(B433,'Kode Data'!$B$3:$C$23,2,0)</f>
        <v>Gandum Soft Wheat</v>
      </c>
      <c r="D433" s="30" t="str">
        <f>VLOOKUP(LEFT(B433,2),'Kode Data'!$E$3:$G$6,3,0)</f>
        <v>Bahan Baku</v>
      </c>
      <c r="E433" s="31" t="s">
        <v>79</v>
      </c>
      <c r="F433" s="30">
        <v>0</v>
      </c>
      <c r="G433" s="30">
        <v>350</v>
      </c>
      <c r="H433" s="30">
        <v>2350</v>
      </c>
      <c r="I433" s="30">
        <v>2000</v>
      </c>
      <c r="J433" s="30" t="s">
        <v>87</v>
      </c>
      <c r="K433" s="32" t="s">
        <v>104</v>
      </c>
    </row>
    <row r="434" spans="1:11" ht="14.5" x14ac:dyDescent="0.35">
      <c r="A434" s="29">
        <v>45820</v>
      </c>
      <c r="B434" s="30" t="s">
        <v>62</v>
      </c>
      <c r="C434" s="31" t="str">
        <f>VLOOKUP(B434,'Kode Data'!$B$3:$C$23,2,0)</f>
        <v>Tepung Terigu Serbaguna</v>
      </c>
      <c r="D434" s="30" t="str">
        <f>VLOOKUP(LEFT(B434,2),'Kode Data'!$E$3:$G$6,3,0)</f>
        <v>Produk</v>
      </c>
      <c r="E434" s="31" t="s">
        <v>82</v>
      </c>
      <c r="F434" s="30">
        <v>0</v>
      </c>
      <c r="G434" s="30">
        <v>700</v>
      </c>
      <c r="H434" s="30">
        <v>2100</v>
      </c>
      <c r="I434" s="30">
        <v>1400</v>
      </c>
      <c r="J434" s="30" t="s">
        <v>80</v>
      </c>
      <c r="K434" s="32" t="s">
        <v>90</v>
      </c>
    </row>
    <row r="435" spans="1:11" ht="14.5" x14ac:dyDescent="0.35">
      <c r="A435" s="33">
        <v>45820</v>
      </c>
      <c r="B435" s="30" t="s">
        <v>58</v>
      </c>
      <c r="C435" s="31" t="str">
        <f>VLOOKUP(B435,'Kode Data'!$B$3:$C$23,2,0)</f>
        <v>Pallet Kayu</v>
      </c>
      <c r="D435" s="30" t="str">
        <f>VLOOKUP(LEFT(B435,2),'Kode Data'!$E$3:$G$6,3,0)</f>
        <v>Kemasan</v>
      </c>
      <c r="E435" s="31" t="s">
        <v>122</v>
      </c>
      <c r="F435" s="30">
        <v>0</v>
      </c>
      <c r="G435" s="30">
        <v>50</v>
      </c>
      <c r="H435" s="30">
        <v>270</v>
      </c>
      <c r="I435" s="30">
        <v>220</v>
      </c>
      <c r="J435" s="30" t="s">
        <v>80</v>
      </c>
      <c r="K435" s="32" t="s">
        <v>93</v>
      </c>
    </row>
    <row r="436" spans="1:11" ht="14.5" x14ac:dyDescent="0.35">
      <c r="A436" s="33">
        <v>45821</v>
      </c>
      <c r="B436" s="30" t="s">
        <v>4</v>
      </c>
      <c r="C436" s="31" t="str">
        <f>VLOOKUP(B436,'Kode Data'!$B$3:$C$23,2,0)</f>
        <v>Gandum Hard Wheat</v>
      </c>
      <c r="D436" s="30" t="str">
        <f>VLOOKUP(LEFT(B436,2),'Kode Data'!$E$3:$G$6,3,0)</f>
        <v>Bahan Baku</v>
      </c>
      <c r="E436" s="31" t="s">
        <v>98</v>
      </c>
      <c r="F436" s="30">
        <v>500</v>
      </c>
      <c r="G436" s="30">
        <v>0</v>
      </c>
      <c r="H436" s="30">
        <v>2350</v>
      </c>
      <c r="I436" s="30">
        <v>2850</v>
      </c>
      <c r="J436" s="30" t="s">
        <v>87</v>
      </c>
      <c r="K436" s="32" t="s">
        <v>88</v>
      </c>
    </row>
    <row r="437" spans="1:11" ht="14.5" x14ac:dyDescent="0.35">
      <c r="A437" s="29">
        <v>45822</v>
      </c>
      <c r="B437" s="30" t="s">
        <v>38</v>
      </c>
      <c r="C437" s="31" t="str">
        <f>VLOOKUP(B437,'Kode Data'!$B$3:$C$23,2,0)</f>
        <v>Improver Tepung</v>
      </c>
      <c r="D437" s="30" t="str">
        <f>VLOOKUP(LEFT(B437,2),'Kode Data'!$E$3:$G$6,3,0)</f>
        <v>Bahan Tambahan</v>
      </c>
      <c r="E437" s="31" t="s">
        <v>95</v>
      </c>
      <c r="F437" s="30">
        <v>0</v>
      </c>
      <c r="G437" s="30">
        <v>120</v>
      </c>
      <c r="H437" s="30">
        <v>550</v>
      </c>
      <c r="I437" s="30">
        <v>430</v>
      </c>
      <c r="J437" s="30" t="s">
        <v>87</v>
      </c>
      <c r="K437" s="32" t="s">
        <v>104</v>
      </c>
    </row>
    <row r="438" spans="1:11" ht="14.5" x14ac:dyDescent="0.35">
      <c r="A438" s="29">
        <v>45822</v>
      </c>
      <c r="B438" s="30" t="s">
        <v>60</v>
      </c>
      <c r="C438" s="31" t="str">
        <f>VLOOKUP(B438,'Kode Data'!$B$3:$C$23,2,0)</f>
        <v>Tepung Terigu Protein Tinggi</v>
      </c>
      <c r="D438" s="30" t="str">
        <f>VLOOKUP(LEFT(B438,2),'Kode Data'!$E$3:$G$6,3,0)</f>
        <v>Produk</v>
      </c>
      <c r="E438" s="31" t="s">
        <v>102</v>
      </c>
      <c r="F438" s="30">
        <v>0</v>
      </c>
      <c r="G438" s="30">
        <v>500</v>
      </c>
      <c r="H438" s="30">
        <v>1900</v>
      </c>
      <c r="I438" s="30">
        <v>1400</v>
      </c>
      <c r="J438" s="30" t="s">
        <v>80</v>
      </c>
      <c r="K438" s="32" t="s">
        <v>90</v>
      </c>
    </row>
    <row r="439" spans="1:11" ht="14.5" x14ac:dyDescent="0.35">
      <c r="A439" s="33">
        <v>45822</v>
      </c>
      <c r="B439" s="30" t="s">
        <v>54</v>
      </c>
      <c r="C439" s="31" t="str">
        <f>VLOOKUP(B439,'Kode Data'!$B$3:$C$23,2,0)</f>
        <v>Karton Box</v>
      </c>
      <c r="D439" s="30" t="str">
        <f>VLOOKUP(LEFT(B439,2),'Kode Data'!$E$3:$G$6,3,0)</f>
        <v>Kemasan</v>
      </c>
      <c r="E439" s="31" t="s">
        <v>109</v>
      </c>
      <c r="F439" s="30">
        <v>700</v>
      </c>
      <c r="G439" s="30">
        <v>0</v>
      </c>
      <c r="H439" s="30">
        <v>9250</v>
      </c>
      <c r="I439" s="30">
        <v>9950</v>
      </c>
      <c r="J439" s="30" t="s">
        <v>80</v>
      </c>
      <c r="K439" s="32" t="s">
        <v>85</v>
      </c>
    </row>
    <row r="440" spans="1:11" ht="14.5" x14ac:dyDescent="0.35">
      <c r="A440" s="29">
        <v>45823</v>
      </c>
      <c r="B440" s="30" t="s">
        <v>30</v>
      </c>
      <c r="C440" s="31" t="str">
        <f>VLOOKUP(B440,'Kode Data'!$B$3:$C$23,2,0)</f>
        <v>Vitamin Fortifikasi</v>
      </c>
      <c r="D440" s="30" t="str">
        <f>VLOOKUP(LEFT(B440,2),'Kode Data'!$E$3:$G$6,3,0)</f>
        <v>Bahan Tambahan</v>
      </c>
      <c r="E440" s="31" t="s">
        <v>101</v>
      </c>
      <c r="F440" s="30">
        <v>0</v>
      </c>
      <c r="G440" s="30">
        <v>100</v>
      </c>
      <c r="H440" s="30">
        <v>660</v>
      </c>
      <c r="I440" s="30">
        <v>560</v>
      </c>
      <c r="J440" s="30" t="s">
        <v>87</v>
      </c>
      <c r="K440" s="32" t="s">
        <v>104</v>
      </c>
    </row>
    <row r="441" spans="1:11" ht="14.5" x14ac:dyDescent="0.35">
      <c r="A441" s="33">
        <v>45823</v>
      </c>
      <c r="B441" s="30" t="s">
        <v>52</v>
      </c>
      <c r="C441" s="31" t="str">
        <f>VLOOKUP(B441,'Kode Data'!$B$3:$C$23,2,0)</f>
        <v>Plastik Kemasan 500 gr</v>
      </c>
      <c r="D441" s="30" t="str">
        <f>VLOOKUP(LEFT(B441,2),'Kode Data'!$E$3:$G$6,3,0)</f>
        <v>Kemasan</v>
      </c>
      <c r="E441" s="31" t="s">
        <v>86</v>
      </c>
      <c r="F441" s="30">
        <v>1100</v>
      </c>
      <c r="G441" s="30">
        <v>0</v>
      </c>
      <c r="H441" s="30">
        <v>7400</v>
      </c>
      <c r="I441" s="30">
        <v>8500</v>
      </c>
      <c r="J441" s="30" t="s">
        <v>80</v>
      </c>
      <c r="K441" s="32" t="s">
        <v>85</v>
      </c>
    </row>
    <row r="442" spans="1:11" ht="14.5" x14ac:dyDescent="0.35">
      <c r="A442" s="33">
        <v>45824</v>
      </c>
      <c r="B442" s="30" t="s">
        <v>9</v>
      </c>
      <c r="C442" s="31" t="str">
        <f>VLOOKUP(B442,'Kode Data'!$B$3:$C$23,2,0)</f>
        <v>Gandum Soft Wheat</v>
      </c>
      <c r="D442" s="30" t="str">
        <f>VLOOKUP(LEFT(B442,2),'Kode Data'!$E$3:$G$6,3,0)</f>
        <v>Bahan Baku</v>
      </c>
      <c r="E442" s="31" t="s">
        <v>89</v>
      </c>
      <c r="F442" s="30">
        <v>300</v>
      </c>
      <c r="G442" s="30">
        <v>0</v>
      </c>
      <c r="H442" s="30">
        <v>2000</v>
      </c>
      <c r="I442" s="30">
        <v>2300</v>
      </c>
      <c r="J442" s="30" t="s">
        <v>87</v>
      </c>
      <c r="K442" s="32" t="s">
        <v>110</v>
      </c>
    </row>
    <row r="443" spans="1:11" ht="14.5" x14ac:dyDescent="0.35">
      <c r="A443" s="33">
        <v>45825</v>
      </c>
      <c r="B443" s="30" t="s">
        <v>56</v>
      </c>
      <c r="C443" s="31" t="str">
        <f>VLOOKUP(B443,'Kode Data'!$B$3:$C$23,2,0)</f>
        <v>Label Produk</v>
      </c>
      <c r="D443" s="30" t="str">
        <f>VLOOKUP(LEFT(B443,2),'Kode Data'!$E$3:$G$6,3,0)</f>
        <v>Kemasan</v>
      </c>
      <c r="E443" s="31" t="s">
        <v>120</v>
      </c>
      <c r="F443" s="30">
        <v>400</v>
      </c>
      <c r="G443" s="30">
        <v>0</v>
      </c>
      <c r="H443" s="30">
        <v>1700</v>
      </c>
      <c r="I443" s="30">
        <v>2100</v>
      </c>
      <c r="J443" s="30" t="s">
        <v>80</v>
      </c>
      <c r="K443" s="32" t="s">
        <v>85</v>
      </c>
    </row>
    <row r="444" spans="1:11" ht="14.5" x14ac:dyDescent="0.35">
      <c r="A444" s="33">
        <v>45825</v>
      </c>
      <c r="B444" s="30" t="s">
        <v>14</v>
      </c>
      <c r="C444" s="31" t="str">
        <f>VLOOKUP(B444,'Kode Data'!$B$3:$C$23,2,0)</f>
        <v>Gandum Durum</v>
      </c>
      <c r="D444" s="30" t="str">
        <f>VLOOKUP(LEFT(B444,2),'Kode Data'!$E$3:$G$6,3,0)</f>
        <v>Bahan Baku</v>
      </c>
      <c r="E444" s="31" t="s">
        <v>79</v>
      </c>
      <c r="F444" s="30">
        <v>0</v>
      </c>
      <c r="G444" s="30">
        <v>260</v>
      </c>
      <c r="H444" s="30">
        <v>1730</v>
      </c>
      <c r="I444" s="30">
        <v>1470</v>
      </c>
      <c r="J444" s="30" t="s">
        <v>87</v>
      </c>
      <c r="K444" s="32" t="s">
        <v>104</v>
      </c>
    </row>
    <row r="445" spans="1:11" ht="14.5" x14ac:dyDescent="0.35">
      <c r="A445" s="29">
        <v>45826</v>
      </c>
      <c r="B445" s="30" t="s">
        <v>42</v>
      </c>
      <c r="C445" s="31" t="str">
        <f>VLOOKUP(B445,'Kode Data'!$B$3:$C$23,2,0)</f>
        <v>Calcium Propionate</v>
      </c>
      <c r="D445" s="30" t="str">
        <f>VLOOKUP(LEFT(B445,2),'Kode Data'!$E$3:$G$6,3,0)</f>
        <v>Bahan Tambahan</v>
      </c>
      <c r="E445" s="31" t="s">
        <v>95</v>
      </c>
      <c r="F445" s="30">
        <v>45</v>
      </c>
      <c r="G445" s="30">
        <v>0</v>
      </c>
      <c r="H445" s="30">
        <v>475</v>
      </c>
      <c r="I445" s="30">
        <v>520</v>
      </c>
      <c r="J445" s="30" t="s">
        <v>87</v>
      </c>
      <c r="K445" s="32" t="s">
        <v>116</v>
      </c>
    </row>
    <row r="446" spans="1:11" ht="14.5" x14ac:dyDescent="0.35">
      <c r="A446" s="33">
        <v>45826</v>
      </c>
      <c r="B446" s="30" t="s">
        <v>19</v>
      </c>
      <c r="C446" s="31" t="str">
        <f>VLOOKUP(B446,'Kode Data'!$B$3:$C$23,2,0)</f>
        <v>Bran Gandum</v>
      </c>
      <c r="D446" s="30" t="str">
        <f>VLOOKUP(LEFT(B446,2),'Kode Data'!$E$3:$G$6,3,0)</f>
        <v>Bahan Baku</v>
      </c>
      <c r="E446" s="31" t="s">
        <v>98</v>
      </c>
      <c r="F446" s="30">
        <v>300</v>
      </c>
      <c r="G446" s="30">
        <v>0</v>
      </c>
      <c r="H446" s="30">
        <v>1800</v>
      </c>
      <c r="I446" s="30">
        <v>2100</v>
      </c>
      <c r="J446" s="30" t="s">
        <v>87</v>
      </c>
      <c r="K446" s="32" t="s">
        <v>110</v>
      </c>
    </row>
    <row r="447" spans="1:11" ht="14.5" x14ac:dyDescent="0.35">
      <c r="A447" s="33">
        <v>45826</v>
      </c>
      <c r="B447" s="30" t="s">
        <v>24</v>
      </c>
      <c r="C447" s="31" t="str">
        <f>VLOOKUP(B447,'Kode Data'!$B$3:$C$23,2,0)</f>
        <v>Germ Gandum</v>
      </c>
      <c r="D447" s="30" t="str">
        <f>VLOOKUP(LEFT(B447,2),'Kode Data'!$E$3:$G$6,3,0)</f>
        <v>Bahan Baku</v>
      </c>
      <c r="E447" s="31" t="s">
        <v>98</v>
      </c>
      <c r="F447" s="30">
        <v>280</v>
      </c>
      <c r="G447" s="30">
        <v>0</v>
      </c>
      <c r="H447" s="30">
        <v>1490</v>
      </c>
      <c r="I447" s="30">
        <v>1770</v>
      </c>
      <c r="J447" s="30" t="s">
        <v>87</v>
      </c>
      <c r="K447" s="32" t="s">
        <v>110</v>
      </c>
    </row>
    <row r="448" spans="1:11" ht="14.5" x14ac:dyDescent="0.35">
      <c r="A448" s="29">
        <v>45827</v>
      </c>
      <c r="B448" s="30" t="s">
        <v>26</v>
      </c>
      <c r="C448" s="31" t="str">
        <f>VLOOKUP(B448,'Kode Data'!$B$3:$C$23,2,0)</f>
        <v>Enzim Baking</v>
      </c>
      <c r="D448" s="30" t="str">
        <f>VLOOKUP(LEFT(B448,2),'Kode Data'!$E$3:$G$6,3,0)</f>
        <v>Bahan Tambahan</v>
      </c>
      <c r="E448" s="31" t="s">
        <v>106</v>
      </c>
      <c r="F448" s="30">
        <v>90</v>
      </c>
      <c r="G448" s="30">
        <v>0</v>
      </c>
      <c r="H448" s="30">
        <v>270</v>
      </c>
      <c r="I448" s="30">
        <v>360</v>
      </c>
      <c r="J448" s="30" t="s">
        <v>87</v>
      </c>
      <c r="K448" s="32" t="s">
        <v>116</v>
      </c>
    </row>
    <row r="449" spans="1:11" ht="14.5" x14ac:dyDescent="0.35">
      <c r="A449" s="29">
        <v>45827</v>
      </c>
      <c r="B449" s="30" t="s">
        <v>34</v>
      </c>
      <c r="C449" s="31" t="str">
        <f>VLOOKUP(B449,'Kode Data'!$B$3:$C$23,2,0)</f>
        <v>Tepung Premix</v>
      </c>
      <c r="D449" s="30" t="str">
        <f>VLOOKUP(LEFT(B449,2),'Kode Data'!$E$3:$G$6,3,0)</f>
        <v>Bahan Tambahan</v>
      </c>
      <c r="E449" s="31" t="s">
        <v>79</v>
      </c>
      <c r="F449" s="30">
        <v>180</v>
      </c>
      <c r="G449" s="30">
        <v>0</v>
      </c>
      <c r="H449" s="30">
        <v>750</v>
      </c>
      <c r="I449" s="30">
        <v>930</v>
      </c>
      <c r="J449" s="30" t="s">
        <v>87</v>
      </c>
      <c r="K449" s="32" t="s">
        <v>96</v>
      </c>
    </row>
    <row r="450" spans="1:11" ht="14.5" x14ac:dyDescent="0.35">
      <c r="A450" s="33">
        <v>45827</v>
      </c>
      <c r="B450" s="30" t="s">
        <v>58</v>
      </c>
      <c r="C450" s="31" t="str">
        <f>VLOOKUP(B450,'Kode Data'!$B$3:$C$23,2,0)</f>
        <v>Pallet Kayu</v>
      </c>
      <c r="D450" s="30" t="str">
        <f>VLOOKUP(LEFT(B450,2),'Kode Data'!$E$3:$G$6,3,0)</f>
        <v>Kemasan</v>
      </c>
      <c r="E450" s="31" t="s">
        <v>105</v>
      </c>
      <c r="F450" s="30">
        <v>40</v>
      </c>
      <c r="G450" s="30">
        <v>0</v>
      </c>
      <c r="H450" s="30">
        <v>220</v>
      </c>
      <c r="I450" s="30">
        <v>260</v>
      </c>
      <c r="J450" s="30" t="s">
        <v>80</v>
      </c>
      <c r="K450" s="32" t="s">
        <v>85</v>
      </c>
    </row>
    <row r="451" spans="1:11" ht="14.5" x14ac:dyDescent="0.35">
      <c r="A451" s="29">
        <v>45828</v>
      </c>
      <c r="B451" s="30" t="s">
        <v>62</v>
      </c>
      <c r="C451" s="31" t="str">
        <f>VLOOKUP(B451,'Kode Data'!$B$3:$C$23,2,0)</f>
        <v>Tepung Terigu Serbaguna</v>
      </c>
      <c r="D451" s="30" t="str">
        <f>VLOOKUP(LEFT(B451,2),'Kode Data'!$E$3:$G$6,3,0)</f>
        <v>Produk</v>
      </c>
      <c r="E451" s="31" t="s">
        <v>79</v>
      </c>
      <c r="F451" s="30">
        <v>700</v>
      </c>
      <c r="G451" s="30">
        <v>0</v>
      </c>
      <c r="H451" s="30">
        <v>1400</v>
      </c>
      <c r="I451" s="30">
        <v>2100</v>
      </c>
      <c r="J451" s="30" t="s">
        <v>80</v>
      </c>
      <c r="K451" s="32" t="s">
        <v>81</v>
      </c>
    </row>
    <row r="452" spans="1:11" ht="14.5" x14ac:dyDescent="0.35">
      <c r="A452" s="29">
        <v>45829</v>
      </c>
      <c r="B452" s="30" t="s">
        <v>38</v>
      </c>
      <c r="C452" s="31" t="str">
        <f>VLOOKUP(B452,'Kode Data'!$B$3:$C$23,2,0)</f>
        <v>Improver Tepung</v>
      </c>
      <c r="D452" s="30" t="str">
        <f>VLOOKUP(LEFT(B452,2),'Kode Data'!$E$3:$G$6,3,0)</f>
        <v>Bahan Tambahan</v>
      </c>
      <c r="E452" s="31" t="s">
        <v>107</v>
      </c>
      <c r="F452" s="30">
        <v>130</v>
      </c>
      <c r="G452" s="30">
        <v>0</v>
      </c>
      <c r="H452" s="30">
        <v>430</v>
      </c>
      <c r="I452" s="30">
        <v>560</v>
      </c>
      <c r="J452" s="30" t="s">
        <v>87</v>
      </c>
      <c r="K452" s="32" t="s">
        <v>116</v>
      </c>
    </row>
    <row r="453" spans="1:11" ht="14.5" x14ac:dyDescent="0.35">
      <c r="A453" s="33">
        <v>45829</v>
      </c>
      <c r="B453" s="30" t="s">
        <v>4</v>
      </c>
      <c r="C453" s="31" t="str">
        <f>VLOOKUP(B453,'Kode Data'!$B$3:$C$23,2,0)</f>
        <v>Gandum Hard Wheat</v>
      </c>
      <c r="D453" s="30" t="str">
        <f>VLOOKUP(LEFT(B453,2),'Kode Data'!$E$3:$G$6,3,0)</f>
        <v>Bahan Baku</v>
      </c>
      <c r="E453" s="31" t="s">
        <v>89</v>
      </c>
      <c r="F453" s="30">
        <v>0</v>
      </c>
      <c r="G453" s="30">
        <v>400</v>
      </c>
      <c r="H453" s="30">
        <v>2850</v>
      </c>
      <c r="I453" s="30">
        <v>2450</v>
      </c>
      <c r="J453" s="30" t="s">
        <v>87</v>
      </c>
      <c r="K453" s="32" t="s">
        <v>104</v>
      </c>
    </row>
    <row r="454" spans="1:11" ht="14.5" x14ac:dyDescent="0.35">
      <c r="A454" s="29">
        <v>45830</v>
      </c>
      <c r="B454" s="30" t="s">
        <v>30</v>
      </c>
      <c r="C454" s="31" t="str">
        <f>VLOOKUP(B454,'Kode Data'!$B$3:$C$23,2,0)</f>
        <v>Vitamin Fortifikasi</v>
      </c>
      <c r="D454" s="30" t="str">
        <f>VLOOKUP(LEFT(B454,2),'Kode Data'!$E$3:$G$6,3,0)</f>
        <v>Bahan Tambahan</v>
      </c>
      <c r="E454" s="31" t="s">
        <v>112</v>
      </c>
      <c r="F454" s="30">
        <v>110</v>
      </c>
      <c r="G454" s="30">
        <v>0</v>
      </c>
      <c r="H454" s="30">
        <v>560</v>
      </c>
      <c r="I454" s="30">
        <v>670</v>
      </c>
      <c r="J454" s="30" t="s">
        <v>87</v>
      </c>
      <c r="K454" s="32" t="s">
        <v>116</v>
      </c>
    </row>
    <row r="455" spans="1:11" ht="14.5" x14ac:dyDescent="0.35">
      <c r="A455" s="29">
        <v>45830</v>
      </c>
      <c r="B455" s="30" t="s">
        <v>60</v>
      </c>
      <c r="C455" s="31" t="str">
        <f>VLOOKUP(B455,'Kode Data'!$B$3:$C$23,2,0)</f>
        <v>Tepung Terigu Protein Tinggi</v>
      </c>
      <c r="D455" s="30" t="str">
        <f>VLOOKUP(LEFT(B455,2),'Kode Data'!$E$3:$G$6,3,0)</f>
        <v>Produk</v>
      </c>
      <c r="E455" s="31" t="s">
        <v>108</v>
      </c>
      <c r="F455" s="30">
        <v>700</v>
      </c>
      <c r="G455" s="30">
        <v>0</v>
      </c>
      <c r="H455" s="30">
        <v>1400</v>
      </c>
      <c r="I455" s="30">
        <v>2100</v>
      </c>
      <c r="J455" s="30" t="s">
        <v>80</v>
      </c>
      <c r="K455" s="32" t="s">
        <v>81</v>
      </c>
    </row>
    <row r="456" spans="1:11" ht="14.5" x14ac:dyDescent="0.35">
      <c r="A456" s="29">
        <v>45831</v>
      </c>
      <c r="B456" s="30" t="s">
        <v>64</v>
      </c>
      <c r="C456" s="31" t="str">
        <f>VLOOKUP(B456,'Kode Data'!$B$3:$C$23,2,0)</f>
        <v>Tepung Terigu Protein Rendah</v>
      </c>
      <c r="D456" s="30" t="str">
        <f>VLOOKUP(LEFT(B456,2),'Kode Data'!$E$3:$G$6,3,0)</f>
        <v>Produk</v>
      </c>
      <c r="E456" s="31" t="s">
        <v>79</v>
      </c>
      <c r="F456" s="30">
        <v>700</v>
      </c>
      <c r="G456" s="30">
        <v>0</v>
      </c>
      <c r="H456" s="30">
        <v>2500</v>
      </c>
      <c r="I456" s="30">
        <v>3200</v>
      </c>
      <c r="J456" s="30" t="s">
        <v>80</v>
      </c>
      <c r="K456" s="32" t="s">
        <v>81</v>
      </c>
    </row>
    <row r="457" spans="1:11" ht="14.5" x14ac:dyDescent="0.35">
      <c r="A457" s="29">
        <v>45832</v>
      </c>
      <c r="B457" s="30" t="s">
        <v>64</v>
      </c>
      <c r="C457" s="31" t="str">
        <f>VLOOKUP(B457,'Kode Data'!$B$3:$C$23,2,0)</f>
        <v>Tepung Terigu Protein Rendah</v>
      </c>
      <c r="D457" s="30" t="str">
        <f>VLOOKUP(LEFT(B457,2),'Kode Data'!$E$3:$G$6,3,0)</f>
        <v>Produk</v>
      </c>
      <c r="E457" s="31" t="s">
        <v>89</v>
      </c>
      <c r="F457" s="30">
        <v>0</v>
      </c>
      <c r="G457" s="30">
        <v>650</v>
      </c>
      <c r="H457" s="30">
        <v>3200</v>
      </c>
      <c r="I457" s="30">
        <v>2550</v>
      </c>
      <c r="J457" s="30" t="s">
        <v>80</v>
      </c>
      <c r="K457" s="32" t="s">
        <v>90</v>
      </c>
    </row>
    <row r="458" spans="1:11" ht="14.5" x14ac:dyDescent="0.35">
      <c r="A458" s="33">
        <v>45832</v>
      </c>
      <c r="B458" s="30" t="s">
        <v>56</v>
      </c>
      <c r="C458" s="31" t="str">
        <f>VLOOKUP(B458,'Kode Data'!$B$3:$C$23,2,0)</f>
        <v>Label Produk</v>
      </c>
      <c r="D458" s="30" t="str">
        <f>VLOOKUP(LEFT(B458,2),'Kode Data'!$E$3:$G$6,3,0)</f>
        <v>Kemasan</v>
      </c>
      <c r="E458" s="31" t="s">
        <v>120</v>
      </c>
      <c r="F458" s="30">
        <v>0</v>
      </c>
      <c r="G458" s="30">
        <v>350</v>
      </c>
      <c r="H458" s="30">
        <v>2100</v>
      </c>
      <c r="I458" s="30">
        <v>1750</v>
      </c>
      <c r="J458" s="30" t="s">
        <v>80</v>
      </c>
      <c r="K458" s="32" t="s">
        <v>93</v>
      </c>
    </row>
    <row r="459" spans="1:11" ht="14.5" x14ac:dyDescent="0.35">
      <c r="A459" s="29">
        <v>45833</v>
      </c>
      <c r="B459" s="30" t="s">
        <v>64</v>
      </c>
      <c r="C459" s="31" t="str">
        <f>VLOOKUP(B459,'Kode Data'!$B$3:$C$23,2,0)</f>
        <v>Tepung Terigu Protein Rendah</v>
      </c>
      <c r="D459" s="30" t="str">
        <f>VLOOKUP(LEFT(B459,2),'Kode Data'!$E$3:$G$6,3,0)</f>
        <v>Produk</v>
      </c>
      <c r="E459" s="31" t="s">
        <v>82</v>
      </c>
      <c r="F459" s="30">
        <v>600</v>
      </c>
      <c r="G459" s="30">
        <v>0</v>
      </c>
      <c r="H459" s="30">
        <v>2550</v>
      </c>
      <c r="I459" s="30">
        <v>3150</v>
      </c>
      <c r="J459" s="30" t="s">
        <v>80</v>
      </c>
      <c r="K459" s="32" t="s">
        <v>81</v>
      </c>
    </row>
    <row r="460" spans="1:11" ht="14.5" x14ac:dyDescent="0.35">
      <c r="A460" s="29">
        <v>45833</v>
      </c>
      <c r="B460" s="30" t="s">
        <v>66</v>
      </c>
      <c r="C460" s="31" t="str">
        <f>VLOOKUP(B460,'Kode Data'!$B$3:$C$23,2,0)</f>
        <v>Tepung Terigu Khusus Roti</v>
      </c>
      <c r="D460" s="30" t="str">
        <f>VLOOKUP(LEFT(B460,2),'Kode Data'!$E$3:$G$6,3,0)</f>
        <v>Produk</v>
      </c>
      <c r="E460" s="31" t="s">
        <v>79</v>
      </c>
      <c r="F460" s="30">
        <v>0</v>
      </c>
      <c r="G460" s="30">
        <v>450</v>
      </c>
      <c r="H460" s="30">
        <v>2000</v>
      </c>
      <c r="I460" s="30">
        <v>1550</v>
      </c>
      <c r="J460" s="30" t="s">
        <v>80</v>
      </c>
      <c r="K460" s="32" t="s">
        <v>90</v>
      </c>
    </row>
    <row r="461" spans="1:11" ht="14.5" x14ac:dyDescent="0.35">
      <c r="A461" s="33">
        <v>45833</v>
      </c>
      <c r="B461" s="30" t="s">
        <v>14</v>
      </c>
      <c r="C461" s="31" t="str">
        <f>VLOOKUP(B461,'Kode Data'!$B$3:$C$23,2,0)</f>
        <v>Gandum Durum</v>
      </c>
      <c r="D461" s="30" t="str">
        <f>VLOOKUP(LEFT(B461,2),'Kode Data'!$E$3:$G$6,3,0)</f>
        <v>Bahan Baku</v>
      </c>
      <c r="E461" s="31" t="s">
        <v>98</v>
      </c>
      <c r="F461" s="30">
        <v>300</v>
      </c>
      <c r="G461" s="30">
        <v>0</v>
      </c>
      <c r="H461" s="30">
        <v>1470</v>
      </c>
      <c r="I461" s="30">
        <v>1770</v>
      </c>
      <c r="J461" s="30" t="s">
        <v>87</v>
      </c>
      <c r="K461" s="32" t="s">
        <v>88</v>
      </c>
    </row>
    <row r="462" spans="1:11" ht="14.5" x14ac:dyDescent="0.35">
      <c r="A462" s="33">
        <v>45833</v>
      </c>
      <c r="B462" s="30" t="s">
        <v>24</v>
      </c>
      <c r="C462" s="31" t="str">
        <f>VLOOKUP(B462,'Kode Data'!$B$3:$C$23,2,0)</f>
        <v>Germ Gandum</v>
      </c>
      <c r="D462" s="30" t="str">
        <f>VLOOKUP(LEFT(B462,2),'Kode Data'!$E$3:$G$6,3,0)</f>
        <v>Bahan Baku</v>
      </c>
      <c r="E462" s="31" t="s">
        <v>98</v>
      </c>
      <c r="F462" s="30">
        <v>0</v>
      </c>
      <c r="G462" s="30">
        <v>200</v>
      </c>
      <c r="H462" s="30">
        <v>1770</v>
      </c>
      <c r="I462" s="30">
        <v>1570</v>
      </c>
      <c r="J462" s="30" t="s">
        <v>87</v>
      </c>
      <c r="K462" s="32" t="s">
        <v>104</v>
      </c>
    </row>
    <row r="463" spans="1:11" ht="14.5" x14ac:dyDescent="0.35">
      <c r="A463" s="29">
        <v>45834</v>
      </c>
      <c r="B463" s="30" t="s">
        <v>34</v>
      </c>
      <c r="C463" s="31" t="str">
        <f>VLOOKUP(B463,'Kode Data'!$B$3:$C$23,2,0)</f>
        <v>Tepung Premix</v>
      </c>
      <c r="D463" s="30" t="str">
        <f>VLOOKUP(LEFT(B463,2),'Kode Data'!$E$3:$G$6,3,0)</f>
        <v>Bahan Tambahan</v>
      </c>
      <c r="E463" s="31" t="s">
        <v>89</v>
      </c>
      <c r="F463" s="30">
        <v>0</v>
      </c>
      <c r="G463" s="30">
        <v>170</v>
      </c>
      <c r="H463" s="30">
        <v>930</v>
      </c>
      <c r="I463" s="30">
        <v>760</v>
      </c>
      <c r="J463" s="30" t="s">
        <v>87</v>
      </c>
      <c r="K463" s="32" t="s">
        <v>104</v>
      </c>
    </row>
    <row r="464" spans="1:11" ht="14.5" x14ac:dyDescent="0.35">
      <c r="A464" s="29">
        <v>45834</v>
      </c>
      <c r="B464" s="30" t="s">
        <v>42</v>
      </c>
      <c r="C464" s="31" t="str">
        <f>VLOOKUP(B464,'Kode Data'!$B$3:$C$23,2,0)</f>
        <v>Calcium Propionate</v>
      </c>
      <c r="D464" s="30" t="str">
        <f>VLOOKUP(LEFT(B464,2),'Kode Data'!$E$3:$G$6,3,0)</f>
        <v>Bahan Tambahan</v>
      </c>
      <c r="E464" s="31" t="s">
        <v>111</v>
      </c>
      <c r="F464" s="30">
        <v>0</v>
      </c>
      <c r="G464" s="30">
        <v>30</v>
      </c>
      <c r="H464" s="30">
        <v>520</v>
      </c>
      <c r="I464" s="30">
        <v>490</v>
      </c>
      <c r="J464" s="30" t="s">
        <v>87</v>
      </c>
      <c r="K464" s="32" t="s">
        <v>104</v>
      </c>
    </row>
    <row r="465" spans="1:11" ht="14.5" x14ac:dyDescent="0.35">
      <c r="A465" s="29">
        <v>45834</v>
      </c>
      <c r="B465" s="30" t="s">
        <v>64</v>
      </c>
      <c r="C465" s="31" t="str">
        <f>VLOOKUP(B465,'Kode Data'!$B$3:$C$23,2,0)</f>
        <v>Tepung Terigu Protein Rendah</v>
      </c>
      <c r="D465" s="30" t="str">
        <f>VLOOKUP(LEFT(B465,2),'Kode Data'!$E$3:$G$6,3,0)</f>
        <v>Produk</v>
      </c>
      <c r="E465" s="31" t="s">
        <v>79</v>
      </c>
      <c r="F465" s="30">
        <v>0</v>
      </c>
      <c r="G465" s="30">
        <v>550</v>
      </c>
      <c r="H465" s="30">
        <v>3150</v>
      </c>
      <c r="I465" s="30">
        <v>2600</v>
      </c>
      <c r="J465" s="30" t="s">
        <v>80</v>
      </c>
      <c r="K465" s="32" t="s">
        <v>90</v>
      </c>
    </row>
    <row r="466" spans="1:11" ht="14.5" x14ac:dyDescent="0.35">
      <c r="A466" s="33">
        <v>45834</v>
      </c>
      <c r="B466" s="30" t="s">
        <v>58</v>
      </c>
      <c r="C466" s="31" t="str">
        <f>VLOOKUP(B466,'Kode Data'!$B$3:$C$23,2,0)</f>
        <v>Pallet Kayu</v>
      </c>
      <c r="D466" s="30" t="str">
        <f>VLOOKUP(LEFT(B466,2),'Kode Data'!$E$3:$G$6,3,0)</f>
        <v>Kemasan</v>
      </c>
      <c r="E466" s="31" t="s">
        <v>94</v>
      </c>
      <c r="F466" s="30">
        <v>0</v>
      </c>
      <c r="G466" s="30">
        <v>30</v>
      </c>
      <c r="H466" s="30">
        <v>260</v>
      </c>
      <c r="I466" s="30">
        <v>230</v>
      </c>
      <c r="J466" s="30" t="s">
        <v>80</v>
      </c>
      <c r="K466" s="32" t="s">
        <v>93</v>
      </c>
    </row>
    <row r="467" spans="1:11" ht="14.5" x14ac:dyDescent="0.35">
      <c r="A467" s="29">
        <v>45835</v>
      </c>
      <c r="B467" s="30" t="s">
        <v>62</v>
      </c>
      <c r="C467" s="31" t="str">
        <f>VLOOKUP(B467,'Kode Data'!$B$3:$C$23,2,0)</f>
        <v>Tepung Terigu Serbaguna</v>
      </c>
      <c r="D467" s="30" t="str">
        <f>VLOOKUP(LEFT(B467,2),'Kode Data'!$E$3:$G$6,3,0)</f>
        <v>Produk</v>
      </c>
      <c r="E467" s="31" t="s">
        <v>89</v>
      </c>
      <c r="F467" s="30">
        <v>0</v>
      </c>
      <c r="G467" s="30">
        <v>600</v>
      </c>
      <c r="H467" s="30">
        <v>2100</v>
      </c>
      <c r="I467" s="30">
        <v>1500</v>
      </c>
      <c r="J467" s="30" t="s">
        <v>80</v>
      </c>
      <c r="K467" s="32" t="s">
        <v>90</v>
      </c>
    </row>
    <row r="468" spans="1:11" ht="14.5" x14ac:dyDescent="0.35">
      <c r="A468" s="33">
        <v>45835</v>
      </c>
      <c r="B468" s="30" t="s">
        <v>54</v>
      </c>
      <c r="C468" s="31" t="str">
        <f>VLOOKUP(B468,'Kode Data'!$B$3:$C$23,2,0)</f>
        <v>Karton Box</v>
      </c>
      <c r="D468" s="30" t="str">
        <f>VLOOKUP(LEFT(B468,2),'Kode Data'!$E$3:$G$6,3,0)</f>
        <v>Kemasan</v>
      </c>
      <c r="E468" s="31" t="s">
        <v>114</v>
      </c>
      <c r="F468" s="30">
        <v>0</v>
      </c>
      <c r="G468" s="30">
        <v>500</v>
      </c>
      <c r="H468" s="30">
        <v>9950</v>
      </c>
      <c r="I468" s="30">
        <v>9450</v>
      </c>
      <c r="J468" s="30" t="s">
        <v>80</v>
      </c>
      <c r="K468" s="32" t="s">
        <v>93</v>
      </c>
    </row>
    <row r="469" spans="1:11" ht="14.5" x14ac:dyDescent="0.35">
      <c r="A469" s="33">
        <v>45835</v>
      </c>
      <c r="B469" s="30" t="s">
        <v>19</v>
      </c>
      <c r="C469" s="31" t="str">
        <f>VLOOKUP(B469,'Kode Data'!$B$3:$C$23,2,0)</f>
        <v>Bran Gandum</v>
      </c>
      <c r="D469" s="30" t="str">
        <f>VLOOKUP(LEFT(B469,2),'Kode Data'!$E$3:$G$6,3,0)</f>
        <v>Bahan Baku</v>
      </c>
      <c r="E469" s="31" t="s">
        <v>118</v>
      </c>
      <c r="F469" s="30">
        <v>0</v>
      </c>
      <c r="G469" s="30">
        <v>250</v>
      </c>
      <c r="H469" s="30">
        <v>2100</v>
      </c>
      <c r="I469" s="30">
        <v>1850</v>
      </c>
      <c r="J469" s="30" t="s">
        <v>87</v>
      </c>
      <c r="K469" s="32" t="s">
        <v>104</v>
      </c>
    </row>
    <row r="470" spans="1:11" ht="14.5" x14ac:dyDescent="0.35">
      <c r="A470" s="29">
        <v>45836</v>
      </c>
      <c r="B470" s="30" t="s">
        <v>26</v>
      </c>
      <c r="C470" s="31" t="str">
        <f>VLOOKUP(B470,'Kode Data'!$B$3:$C$23,2,0)</f>
        <v>Enzim Baking</v>
      </c>
      <c r="D470" s="30" t="str">
        <f>VLOOKUP(LEFT(B470,2),'Kode Data'!$E$3:$G$6,3,0)</f>
        <v>Bahan Tambahan</v>
      </c>
      <c r="E470" s="31" t="s">
        <v>115</v>
      </c>
      <c r="F470" s="30">
        <v>0</v>
      </c>
      <c r="G470" s="30">
        <v>95</v>
      </c>
      <c r="H470" s="30">
        <v>360</v>
      </c>
      <c r="I470" s="30">
        <v>265</v>
      </c>
      <c r="J470" s="30" t="s">
        <v>87</v>
      </c>
      <c r="K470" s="32" t="s">
        <v>104</v>
      </c>
    </row>
    <row r="471" spans="1:11" ht="14.5" x14ac:dyDescent="0.35">
      <c r="A471" s="29">
        <v>45836</v>
      </c>
      <c r="B471" s="30" t="s">
        <v>64</v>
      </c>
      <c r="C471" s="31" t="str">
        <f>VLOOKUP(B471,'Kode Data'!$B$3:$C$23,2,0)</f>
        <v>Tepung Terigu Protein Rendah</v>
      </c>
      <c r="D471" s="30" t="str">
        <f>VLOOKUP(LEFT(B471,2),'Kode Data'!$E$3:$G$6,3,0)</f>
        <v>Produk</v>
      </c>
      <c r="E471" s="31" t="s">
        <v>89</v>
      </c>
      <c r="F471" s="30">
        <v>650</v>
      </c>
      <c r="G471" s="30">
        <v>0</v>
      </c>
      <c r="H471" s="30">
        <v>2600</v>
      </c>
      <c r="I471" s="30">
        <v>3250</v>
      </c>
      <c r="J471" s="30" t="s">
        <v>80</v>
      </c>
      <c r="K471" s="32" t="s">
        <v>81</v>
      </c>
    </row>
    <row r="472" spans="1:11" ht="14.5" x14ac:dyDescent="0.35">
      <c r="A472" s="29">
        <v>45837</v>
      </c>
      <c r="B472" s="30" t="s">
        <v>30</v>
      </c>
      <c r="C472" s="31" t="str">
        <f>VLOOKUP(B472,'Kode Data'!$B$3:$C$23,2,0)</f>
        <v>Vitamin Fortifikasi</v>
      </c>
      <c r="D472" s="30" t="str">
        <f>VLOOKUP(LEFT(B472,2),'Kode Data'!$E$3:$G$6,3,0)</f>
        <v>Bahan Tambahan</v>
      </c>
      <c r="E472" s="31" t="s">
        <v>119</v>
      </c>
      <c r="F472" s="30">
        <v>0</v>
      </c>
      <c r="G472" s="30">
        <v>95</v>
      </c>
      <c r="H472" s="30">
        <v>670</v>
      </c>
      <c r="I472" s="30">
        <v>575</v>
      </c>
      <c r="J472" s="30" t="s">
        <v>87</v>
      </c>
      <c r="K472" s="32" t="s">
        <v>104</v>
      </c>
    </row>
    <row r="473" spans="1:11" ht="14.5" x14ac:dyDescent="0.35">
      <c r="A473" s="29">
        <v>45837</v>
      </c>
      <c r="B473" s="30" t="s">
        <v>38</v>
      </c>
      <c r="C473" s="31" t="str">
        <f>VLOOKUP(B473,'Kode Data'!$B$3:$C$23,2,0)</f>
        <v>Improver Tepung</v>
      </c>
      <c r="D473" s="30" t="str">
        <f>VLOOKUP(LEFT(B473,2),'Kode Data'!$E$3:$G$6,3,0)</f>
        <v>Bahan Tambahan</v>
      </c>
      <c r="E473" s="31" t="s">
        <v>117</v>
      </c>
      <c r="F473" s="30">
        <v>0</v>
      </c>
      <c r="G473" s="30">
        <v>150</v>
      </c>
      <c r="H473" s="30">
        <v>560</v>
      </c>
      <c r="I473" s="30">
        <v>410</v>
      </c>
      <c r="J473" s="30" t="s">
        <v>87</v>
      </c>
      <c r="K473" s="32" t="s">
        <v>104</v>
      </c>
    </row>
    <row r="474" spans="1:11" ht="14.5" x14ac:dyDescent="0.35">
      <c r="A474" s="29">
        <v>45837</v>
      </c>
      <c r="B474" s="30" t="s">
        <v>60</v>
      </c>
      <c r="C474" s="31" t="str">
        <f>VLOOKUP(B474,'Kode Data'!$B$3:$C$23,2,0)</f>
        <v>Tepung Terigu Protein Tinggi</v>
      </c>
      <c r="D474" s="30" t="str">
        <f>VLOOKUP(LEFT(B474,2),'Kode Data'!$E$3:$G$6,3,0)</f>
        <v>Produk</v>
      </c>
      <c r="E474" s="31" t="s">
        <v>113</v>
      </c>
      <c r="F474" s="30">
        <v>0</v>
      </c>
      <c r="G474" s="30">
        <v>600</v>
      </c>
      <c r="H474" s="30">
        <v>2100</v>
      </c>
      <c r="I474" s="30">
        <v>1500</v>
      </c>
      <c r="J474" s="30" t="s">
        <v>80</v>
      </c>
      <c r="K474" s="32" t="s">
        <v>90</v>
      </c>
    </row>
    <row r="475" spans="1:11" ht="14.5" x14ac:dyDescent="0.35">
      <c r="A475" s="29">
        <v>45837</v>
      </c>
      <c r="B475" s="30" t="s">
        <v>64</v>
      </c>
      <c r="C475" s="31" t="str">
        <f>VLOOKUP(B475,'Kode Data'!$B$3:$C$23,2,0)</f>
        <v>Tepung Terigu Protein Rendah</v>
      </c>
      <c r="D475" s="30" t="str">
        <f>VLOOKUP(LEFT(B475,2),'Kode Data'!$E$3:$G$6,3,0)</f>
        <v>Produk</v>
      </c>
      <c r="E475" s="31" t="s">
        <v>82</v>
      </c>
      <c r="F475" s="30">
        <v>0</v>
      </c>
      <c r="G475" s="30">
        <v>600</v>
      </c>
      <c r="H475" s="30">
        <v>3250</v>
      </c>
      <c r="I475" s="30">
        <v>2650</v>
      </c>
      <c r="J475" s="30" t="s">
        <v>80</v>
      </c>
      <c r="K475" s="32" t="s">
        <v>90</v>
      </c>
    </row>
    <row r="476" spans="1:11" ht="14.5" x14ac:dyDescent="0.35">
      <c r="A476" s="33">
        <v>45837</v>
      </c>
      <c r="B476" s="30" t="s">
        <v>9</v>
      </c>
      <c r="C476" s="31" t="str">
        <f>VLOOKUP(B476,'Kode Data'!$B$3:$C$23,2,0)</f>
        <v>Gandum Soft Wheat</v>
      </c>
      <c r="D476" s="30" t="str">
        <f>VLOOKUP(LEFT(B476,2),'Kode Data'!$E$3:$G$6,3,0)</f>
        <v>Bahan Baku</v>
      </c>
      <c r="E476" s="31" t="s">
        <v>98</v>
      </c>
      <c r="F476" s="30">
        <v>0</v>
      </c>
      <c r="G476" s="30">
        <v>250</v>
      </c>
      <c r="H476" s="30">
        <v>2300</v>
      </c>
      <c r="I476" s="30">
        <v>2050</v>
      </c>
      <c r="J476" s="30" t="s">
        <v>87</v>
      </c>
      <c r="K476" s="32" t="s">
        <v>104</v>
      </c>
    </row>
    <row r="477" spans="1:11" ht="14.5" x14ac:dyDescent="0.35">
      <c r="A477" s="29">
        <v>45838</v>
      </c>
      <c r="B477" s="30" t="s">
        <v>68</v>
      </c>
      <c r="C477" s="31" t="str">
        <f>VLOOKUP(B477,'Kode Data'!$B$3:$C$23,2,0)</f>
        <v>Tepung Terigu Khusus Kue</v>
      </c>
      <c r="D477" s="30" t="str">
        <f>VLOOKUP(LEFT(B477,2),'Kode Data'!$E$3:$G$6,3,0)</f>
        <v>Produk</v>
      </c>
      <c r="E477" s="31" t="s">
        <v>91</v>
      </c>
      <c r="F477" s="30">
        <v>0</v>
      </c>
      <c r="G477" s="30">
        <v>450</v>
      </c>
      <c r="H477" s="30">
        <v>2800</v>
      </c>
      <c r="I477" s="30">
        <v>2350</v>
      </c>
      <c r="J477" s="30" t="s">
        <v>80</v>
      </c>
      <c r="K477" s="32" t="s">
        <v>90</v>
      </c>
    </row>
    <row r="478" spans="1:11" ht="14.5" x14ac:dyDescent="0.35">
      <c r="A478" s="33">
        <v>45838</v>
      </c>
      <c r="B478" s="30" t="s">
        <v>4</v>
      </c>
      <c r="C478" s="31" t="str">
        <f>VLOOKUP(B478,'Kode Data'!$B$3:$C$23,2,0)</f>
        <v>Gandum Hard Wheat</v>
      </c>
      <c r="D478" s="30" t="str">
        <f>VLOOKUP(LEFT(B478,2),'Kode Data'!$E$3:$G$6,3,0)</f>
        <v>Bahan Baku</v>
      </c>
      <c r="E478" s="31" t="s">
        <v>79</v>
      </c>
      <c r="F478" s="30">
        <v>550</v>
      </c>
      <c r="G478" s="30">
        <v>0</v>
      </c>
      <c r="H478" s="30">
        <v>2450</v>
      </c>
      <c r="I478" s="30">
        <v>3000</v>
      </c>
      <c r="J478" s="30" t="s">
        <v>87</v>
      </c>
      <c r="K478" s="32" t="s">
        <v>110</v>
      </c>
    </row>
    <row r="479" spans="1:11" ht="14.5" x14ac:dyDescent="0.35">
      <c r="A479" s="29">
        <v>45839</v>
      </c>
      <c r="B479" s="30" t="s">
        <v>62</v>
      </c>
      <c r="C479" s="31" t="str">
        <f>VLOOKUP(B479,'Kode Data'!$B$3:$C$23,2,0)</f>
        <v>Tepung Terigu Serbaguna</v>
      </c>
      <c r="D479" s="30" t="str">
        <f>VLOOKUP(LEFT(B479,2),'Kode Data'!$E$3:$G$6,3,0)</f>
        <v>Produk</v>
      </c>
      <c r="E479" s="31" t="s">
        <v>82</v>
      </c>
      <c r="F479" s="30">
        <v>800</v>
      </c>
      <c r="G479" s="30">
        <v>0</v>
      </c>
      <c r="H479" s="30">
        <v>1500</v>
      </c>
      <c r="I479" s="30">
        <v>2300</v>
      </c>
      <c r="J479" s="30" t="s">
        <v>80</v>
      </c>
      <c r="K479" s="32" t="s">
        <v>81</v>
      </c>
    </row>
    <row r="480" spans="1:11" ht="14.5" x14ac:dyDescent="0.35">
      <c r="A480" s="29">
        <v>45839</v>
      </c>
      <c r="B480" s="30" t="s">
        <v>64</v>
      </c>
      <c r="C480" s="31" t="str">
        <f>VLOOKUP(B480,'Kode Data'!$B$3:$C$23,2,0)</f>
        <v>Tepung Terigu Protein Rendah</v>
      </c>
      <c r="D480" s="30" t="str">
        <f>VLOOKUP(LEFT(B480,2),'Kode Data'!$E$3:$G$6,3,0)</f>
        <v>Produk</v>
      </c>
      <c r="E480" s="31" t="s">
        <v>79</v>
      </c>
      <c r="F480" s="30">
        <v>700</v>
      </c>
      <c r="G480" s="30">
        <v>0</v>
      </c>
      <c r="H480" s="30">
        <v>2650</v>
      </c>
      <c r="I480" s="30">
        <v>3350</v>
      </c>
      <c r="J480" s="30" t="s">
        <v>80</v>
      </c>
      <c r="K480" s="32" t="s">
        <v>81</v>
      </c>
    </row>
    <row r="481" spans="1:11" ht="14.5" x14ac:dyDescent="0.35">
      <c r="A481" s="29">
        <v>45839</v>
      </c>
      <c r="B481" s="30" t="s">
        <v>68</v>
      </c>
      <c r="C481" s="31" t="str">
        <f>VLOOKUP(B481,'Kode Data'!$B$3:$C$23,2,0)</f>
        <v>Tepung Terigu Khusus Kue</v>
      </c>
      <c r="D481" s="30" t="str">
        <f>VLOOKUP(LEFT(B481,2),'Kode Data'!$E$3:$G$6,3,0)</f>
        <v>Produk</v>
      </c>
      <c r="E481" s="31" t="s">
        <v>89</v>
      </c>
      <c r="F481" s="30">
        <v>600</v>
      </c>
      <c r="G481" s="30">
        <v>0</v>
      </c>
      <c r="H481" s="30">
        <v>2350</v>
      </c>
      <c r="I481" s="30">
        <v>2950</v>
      </c>
      <c r="J481" s="30" t="s">
        <v>80</v>
      </c>
      <c r="K481" s="32" t="s">
        <v>81</v>
      </c>
    </row>
    <row r="482" spans="1:11" ht="14.5" x14ac:dyDescent="0.35">
      <c r="A482" s="29">
        <v>45840</v>
      </c>
      <c r="B482" s="30" t="s">
        <v>64</v>
      </c>
      <c r="C482" s="31" t="str">
        <f>VLOOKUP(B482,'Kode Data'!$B$3:$C$23,2,0)</f>
        <v>Tepung Terigu Protein Rendah</v>
      </c>
      <c r="D482" s="30" t="str">
        <f>VLOOKUP(LEFT(B482,2),'Kode Data'!$E$3:$G$6,3,0)</f>
        <v>Produk</v>
      </c>
      <c r="E482" s="31" t="s">
        <v>89</v>
      </c>
      <c r="F482" s="30">
        <v>0</v>
      </c>
      <c r="G482" s="30">
        <v>650</v>
      </c>
      <c r="H482" s="30">
        <v>3350</v>
      </c>
      <c r="I482" s="30">
        <v>2700</v>
      </c>
      <c r="J482" s="30" t="s">
        <v>80</v>
      </c>
      <c r="K482" s="32" t="s">
        <v>90</v>
      </c>
    </row>
    <row r="483" spans="1:11" ht="14.5" x14ac:dyDescent="0.35">
      <c r="A483" s="29">
        <v>45840</v>
      </c>
      <c r="B483" s="30" t="s">
        <v>68</v>
      </c>
      <c r="C483" s="31" t="str">
        <f>VLOOKUP(B483,'Kode Data'!$B$3:$C$23,2,0)</f>
        <v>Tepung Terigu Khusus Kue</v>
      </c>
      <c r="D483" s="30" t="str">
        <f>VLOOKUP(LEFT(B483,2),'Kode Data'!$E$3:$G$6,3,0)</f>
        <v>Produk</v>
      </c>
      <c r="E483" s="31" t="s">
        <v>83</v>
      </c>
      <c r="F483" s="30">
        <v>0</v>
      </c>
      <c r="G483" s="30">
        <v>500</v>
      </c>
      <c r="H483" s="30">
        <v>2950</v>
      </c>
      <c r="I483" s="30">
        <v>2450</v>
      </c>
      <c r="J483" s="30" t="s">
        <v>80</v>
      </c>
      <c r="K483" s="32" t="s">
        <v>90</v>
      </c>
    </row>
    <row r="484" spans="1:11" ht="14.5" x14ac:dyDescent="0.35">
      <c r="A484" s="33">
        <v>45840</v>
      </c>
      <c r="B484" s="30" t="s">
        <v>56</v>
      </c>
      <c r="C484" s="31" t="str">
        <f>VLOOKUP(B484,'Kode Data'!$B$3:$C$23,2,0)</f>
        <v>Label Produk</v>
      </c>
      <c r="D484" s="30" t="str">
        <f>VLOOKUP(LEFT(B484,2),'Kode Data'!$E$3:$G$6,3,0)</f>
        <v>Kemasan</v>
      </c>
      <c r="E484" s="31" t="s">
        <v>103</v>
      </c>
      <c r="F484" s="30">
        <v>500</v>
      </c>
      <c r="G484" s="30">
        <v>0</v>
      </c>
      <c r="H484" s="30">
        <v>1750</v>
      </c>
      <c r="I484" s="30">
        <v>2250</v>
      </c>
      <c r="J484" s="30" t="s">
        <v>80</v>
      </c>
      <c r="K484" s="32" t="s">
        <v>85</v>
      </c>
    </row>
    <row r="485" spans="1:11" ht="14.5" x14ac:dyDescent="0.35">
      <c r="A485" s="33">
        <v>45840</v>
      </c>
      <c r="B485" s="30" t="s">
        <v>24</v>
      </c>
      <c r="C485" s="31" t="str">
        <f>VLOOKUP(B485,'Kode Data'!$B$3:$C$23,2,0)</f>
        <v>Germ Gandum</v>
      </c>
      <c r="D485" s="30" t="str">
        <f>VLOOKUP(LEFT(B485,2),'Kode Data'!$E$3:$G$6,3,0)</f>
        <v>Bahan Baku</v>
      </c>
      <c r="E485" s="31" t="s">
        <v>79</v>
      </c>
      <c r="F485" s="30">
        <v>310</v>
      </c>
      <c r="G485" s="30">
        <v>0</v>
      </c>
      <c r="H485" s="30">
        <v>1570</v>
      </c>
      <c r="I485" s="30">
        <v>1880</v>
      </c>
      <c r="J485" s="30" t="s">
        <v>87</v>
      </c>
      <c r="K485" s="32" t="s">
        <v>88</v>
      </c>
    </row>
    <row r="486" spans="1:11" ht="14.5" x14ac:dyDescent="0.35">
      <c r="A486" s="29">
        <v>45841</v>
      </c>
      <c r="B486" s="30" t="s">
        <v>34</v>
      </c>
      <c r="C486" s="31" t="str">
        <f>VLOOKUP(B486,'Kode Data'!$B$3:$C$23,2,0)</f>
        <v>Tepung Premix</v>
      </c>
      <c r="D486" s="30" t="str">
        <f>VLOOKUP(LEFT(B486,2),'Kode Data'!$E$3:$G$6,3,0)</f>
        <v>Bahan Tambahan</v>
      </c>
      <c r="E486" s="31" t="s">
        <v>82</v>
      </c>
      <c r="F486" s="30">
        <v>210</v>
      </c>
      <c r="G486" s="30">
        <v>0</v>
      </c>
      <c r="H486" s="30">
        <v>760</v>
      </c>
      <c r="I486" s="30">
        <v>970</v>
      </c>
      <c r="J486" s="30" t="s">
        <v>87</v>
      </c>
      <c r="K486" s="32" t="s">
        <v>96</v>
      </c>
    </row>
    <row r="487" spans="1:11" ht="14.5" x14ac:dyDescent="0.35">
      <c r="A487" s="29">
        <v>45841</v>
      </c>
      <c r="B487" s="30" t="s">
        <v>38</v>
      </c>
      <c r="C487" s="31" t="str">
        <f>VLOOKUP(B487,'Kode Data'!$B$3:$C$23,2,0)</f>
        <v>Improver Tepung</v>
      </c>
      <c r="D487" s="30" t="str">
        <f>VLOOKUP(LEFT(B487,2),'Kode Data'!$E$3:$G$6,3,0)</f>
        <v>Bahan Tambahan</v>
      </c>
      <c r="E487" s="31" t="s">
        <v>95</v>
      </c>
      <c r="F487" s="30">
        <v>160</v>
      </c>
      <c r="G487" s="30">
        <v>0</v>
      </c>
      <c r="H487" s="30">
        <v>410</v>
      </c>
      <c r="I487" s="30">
        <v>570</v>
      </c>
      <c r="J487" s="30" t="s">
        <v>87</v>
      </c>
      <c r="K487" s="32" t="s">
        <v>96</v>
      </c>
    </row>
    <row r="488" spans="1:11" ht="14.5" x14ac:dyDescent="0.35">
      <c r="A488" s="33">
        <v>45841</v>
      </c>
      <c r="B488" s="30" t="s">
        <v>54</v>
      </c>
      <c r="C488" s="31" t="str">
        <f>VLOOKUP(B488,'Kode Data'!$B$3:$C$23,2,0)</f>
        <v>Karton Box</v>
      </c>
      <c r="D488" s="30" t="str">
        <f>VLOOKUP(LEFT(B488,2),'Kode Data'!$E$3:$G$6,3,0)</f>
        <v>Kemasan</v>
      </c>
      <c r="E488" s="31" t="s">
        <v>97</v>
      </c>
      <c r="F488" s="30">
        <v>1000</v>
      </c>
      <c r="G488" s="30">
        <v>0</v>
      </c>
      <c r="H488" s="30">
        <v>9450</v>
      </c>
      <c r="I488" s="30">
        <v>10450</v>
      </c>
      <c r="J488" s="30" t="s">
        <v>80</v>
      </c>
      <c r="K488" s="32" t="s">
        <v>85</v>
      </c>
    </row>
    <row r="489" spans="1:11" ht="14.5" x14ac:dyDescent="0.35">
      <c r="A489" s="33">
        <v>45841</v>
      </c>
      <c r="B489" s="30" t="s">
        <v>14</v>
      </c>
      <c r="C489" s="31" t="str">
        <f>VLOOKUP(B489,'Kode Data'!$B$3:$C$23,2,0)</f>
        <v>Gandum Durum</v>
      </c>
      <c r="D489" s="30" t="str">
        <f>VLOOKUP(LEFT(B489,2),'Kode Data'!$E$3:$G$6,3,0)</f>
        <v>Bahan Baku</v>
      </c>
      <c r="E489" s="31" t="s">
        <v>89</v>
      </c>
      <c r="F489" s="30">
        <v>0</v>
      </c>
      <c r="G489" s="30">
        <v>320</v>
      </c>
      <c r="H489" s="30">
        <v>1770</v>
      </c>
      <c r="I489" s="30">
        <v>1450</v>
      </c>
      <c r="J489" s="30" t="s">
        <v>87</v>
      </c>
      <c r="K489" s="32" t="s">
        <v>104</v>
      </c>
    </row>
    <row r="490" spans="1:11" ht="14.5" x14ac:dyDescent="0.35">
      <c r="A490" s="29">
        <v>45842</v>
      </c>
      <c r="B490" s="30" t="s">
        <v>26</v>
      </c>
      <c r="C490" s="31" t="str">
        <f>VLOOKUP(B490,'Kode Data'!$B$3:$C$23,2,0)</f>
        <v>Enzim Baking</v>
      </c>
      <c r="D490" s="30" t="str">
        <f>VLOOKUP(LEFT(B490,2),'Kode Data'!$E$3:$G$6,3,0)</f>
        <v>Bahan Tambahan</v>
      </c>
      <c r="E490" s="31" t="s">
        <v>100</v>
      </c>
      <c r="F490" s="30">
        <v>120</v>
      </c>
      <c r="G490" s="30">
        <v>0</v>
      </c>
      <c r="H490" s="30">
        <v>265</v>
      </c>
      <c r="I490" s="30">
        <v>385</v>
      </c>
      <c r="J490" s="30" t="s">
        <v>87</v>
      </c>
      <c r="K490" s="32" t="s">
        <v>96</v>
      </c>
    </row>
    <row r="491" spans="1:11" ht="14.5" x14ac:dyDescent="0.35">
      <c r="A491" s="29">
        <v>45842</v>
      </c>
      <c r="B491" s="30" t="s">
        <v>64</v>
      </c>
      <c r="C491" s="31" t="str">
        <f>VLOOKUP(B491,'Kode Data'!$B$3:$C$23,2,0)</f>
        <v>Tepung Terigu Protein Rendah</v>
      </c>
      <c r="D491" s="30" t="str">
        <f>VLOOKUP(LEFT(B491,2),'Kode Data'!$E$3:$G$6,3,0)</f>
        <v>Produk</v>
      </c>
      <c r="E491" s="31" t="s">
        <v>82</v>
      </c>
      <c r="F491" s="30">
        <v>600</v>
      </c>
      <c r="G491" s="30">
        <v>0</v>
      </c>
      <c r="H491" s="30">
        <v>2700</v>
      </c>
      <c r="I491" s="30">
        <v>3300</v>
      </c>
      <c r="J491" s="30" t="s">
        <v>80</v>
      </c>
      <c r="K491" s="32" t="s">
        <v>81</v>
      </c>
    </row>
    <row r="492" spans="1:11" ht="14.5" x14ac:dyDescent="0.35">
      <c r="A492" s="29">
        <v>45842</v>
      </c>
      <c r="B492" s="30" t="s">
        <v>68</v>
      </c>
      <c r="C492" s="31" t="str">
        <f>VLOOKUP(B492,'Kode Data'!$B$3:$C$23,2,0)</f>
        <v>Tepung Terigu Khusus Kue</v>
      </c>
      <c r="D492" s="30" t="str">
        <f>VLOOKUP(LEFT(B492,2),'Kode Data'!$E$3:$G$6,3,0)</f>
        <v>Produk</v>
      </c>
      <c r="E492" s="31" t="s">
        <v>91</v>
      </c>
      <c r="F492" s="30">
        <v>550</v>
      </c>
      <c r="G492" s="30">
        <v>0</v>
      </c>
      <c r="H492" s="30">
        <v>2450</v>
      </c>
      <c r="I492" s="30">
        <v>3000</v>
      </c>
      <c r="J492" s="30" t="s">
        <v>80</v>
      </c>
      <c r="K492" s="32" t="s">
        <v>81</v>
      </c>
    </row>
    <row r="493" spans="1:11" ht="14.5" x14ac:dyDescent="0.35">
      <c r="A493" s="33">
        <v>45842</v>
      </c>
      <c r="B493" s="30" t="s">
        <v>58</v>
      </c>
      <c r="C493" s="31" t="str">
        <f>VLOOKUP(B493,'Kode Data'!$B$3:$C$23,2,0)</f>
        <v>Pallet Kayu</v>
      </c>
      <c r="D493" s="30" t="str">
        <f>VLOOKUP(LEFT(B493,2),'Kode Data'!$E$3:$G$6,3,0)</f>
        <v>Kemasan</v>
      </c>
      <c r="E493" s="31" t="s">
        <v>122</v>
      </c>
      <c r="F493" s="30">
        <v>70</v>
      </c>
      <c r="G493" s="30">
        <v>0</v>
      </c>
      <c r="H493" s="30">
        <v>230</v>
      </c>
      <c r="I493" s="30">
        <v>300</v>
      </c>
      <c r="J493" s="30" t="s">
        <v>80</v>
      </c>
      <c r="K493" s="32" t="s">
        <v>85</v>
      </c>
    </row>
    <row r="494" spans="1:11" ht="14.5" x14ac:dyDescent="0.35">
      <c r="A494" s="33">
        <v>45842</v>
      </c>
      <c r="B494" s="30" t="s">
        <v>9</v>
      </c>
      <c r="C494" s="31" t="str">
        <f>VLOOKUP(B494,'Kode Data'!$B$3:$C$23,2,0)</f>
        <v>Gandum Soft Wheat</v>
      </c>
      <c r="D494" s="30" t="str">
        <f>VLOOKUP(LEFT(B494,2),'Kode Data'!$E$3:$G$6,3,0)</f>
        <v>Bahan Baku</v>
      </c>
      <c r="E494" s="31" t="s">
        <v>79</v>
      </c>
      <c r="F494" s="30">
        <v>450</v>
      </c>
      <c r="G494" s="30">
        <v>0</v>
      </c>
      <c r="H494" s="30">
        <v>2050</v>
      </c>
      <c r="I494" s="30">
        <v>2500</v>
      </c>
      <c r="J494" s="30" t="s">
        <v>87</v>
      </c>
      <c r="K494" s="32" t="s">
        <v>88</v>
      </c>
    </row>
    <row r="495" spans="1:11" ht="14.5" x14ac:dyDescent="0.35">
      <c r="A495" s="33">
        <v>45842</v>
      </c>
      <c r="B495" s="30" t="s">
        <v>19</v>
      </c>
      <c r="C495" s="31" t="str">
        <f>VLOOKUP(B495,'Kode Data'!$B$3:$C$23,2,0)</f>
        <v>Bran Gandum</v>
      </c>
      <c r="D495" s="30" t="str">
        <f>VLOOKUP(LEFT(B495,2),'Kode Data'!$E$3:$G$6,3,0)</f>
        <v>Bahan Baku</v>
      </c>
      <c r="E495" s="31" t="s">
        <v>79</v>
      </c>
      <c r="F495" s="30">
        <v>400</v>
      </c>
      <c r="G495" s="30">
        <v>0</v>
      </c>
      <c r="H495" s="30">
        <v>1850</v>
      </c>
      <c r="I495" s="30">
        <v>2250</v>
      </c>
      <c r="J495" s="30" t="s">
        <v>87</v>
      </c>
      <c r="K495" s="32" t="s">
        <v>88</v>
      </c>
    </row>
    <row r="496" spans="1:11" ht="14.5" x14ac:dyDescent="0.35">
      <c r="A496" s="29">
        <v>45843</v>
      </c>
      <c r="B496" s="30" t="s">
        <v>30</v>
      </c>
      <c r="C496" s="31" t="str">
        <f>VLOOKUP(B496,'Kode Data'!$B$3:$C$23,2,0)</f>
        <v>Vitamin Fortifikasi</v>
      </c>
      <c r="D496" s="30" t="str">
        <f>VLOOKUP(LEFT(B496,2),'Kode Data'!$E$3:$G$6,3,0)</f>
        <v>Bahan Tambahan</v>
      </c>
      <c r="E496" s="31" t="s">
        <v>101</v>
      </c>
      <c r="F496" s="30">
        <v>140</v>
      </c>
      <c r="G496" s="30">
        <v>0</v>
      </c>
      <c r="H496" s="30">
        <v>575</v>
      </c>
      <c r="I496" s="30">
        <v>715</v>
      </c>
      <c r="J496" s="30" t="s">
        <v>87</v>
      </c>
      <c r="K496" s="32" t="s">
        <v>96</v>
      </c>
    </row>
    <row r="497" spans="1:11" ht="14.5" x14ac:dyDescent="0.35">
      <c r="A497" s="29">
        <v>45843</v>
      </c>
      <c r="B497" s="30" t="s">
        <v>42</v>
      </c>
      <c r="C497" s="31" t="str">
        <f>VLOOKUP(B497,'Kode Data'!$B$3:$C$23,2,0)</f>
        <v>Calcium Propionate</v>
      </c>
      <c r="D497" s="30" t="str">
        <f>VLOOKUP(LEFT(B497,2),'Kode Data'!$E$3:$G$6,3,0)</f>
        <v>Bahan Tambahan</v>
      </c>
      <c r="E497" s="31" t="s">
        <v>121</v>
      </c>
      <c r="F497" s="30">
        <v>55</v>
      </c>
      <c r="G497" s="30">
        <v>0</v>
      </c>
      <c r="H497" s="30">
        <v>490</v>
      </c>
      <c r="I497" s="30">
        <v>545</v>
      </c>
      <c r="J497" s="30" t="s">
        <v>87</v>
      </c>
      <c r="K497" s="32" t="s">
        <v>116</v>
      </c>
    </row>
    <row r="498" spans="1:11" ht="14.5" x14ac:dyDescent="0.35">
      <c r="A498" s="29">
        <v>45843</v>
      </c>
      <c r="B498" s="30" t="s">
        <v>60</v>
      </c>
      <c r="C498" s="31" t="str">
        <f>VLOOKUP(B498,'Kode Data'!$B$3:$C$23,2,0)</f>
        <v>Tepung Terigu Protein Tinggi</v>
      </c>
      <c r="D498" s="30" t="str">
        <f>VLOOKUP(LEFT(B498,2),'Kode Data'!$E$3:$G$6,3,0)</f>
        <v>Produk</v>
      </c>
      <c r="E498" s="31" t="s">
        <v>102</v>
      </c>
      <c r="F498" s="30">
        <v>800</v>
      </c>
      <c r="G498" s="30">
        <v>0</v>
      </c>
      <c r="H498" s="30">
        <v>1500</v>
      </c>
      <c r="I498" s="30">
        <v>2300</v>
      </c>
      <c r="J498" s="30" t="s">
        <v>80</v>
      </c>
      <c r="K498" s="32" t="s">
        <v>81</v>
      </c>
    </row>
    <row r="499" spans="1:11" ht="14.5" x14ac:dyDescent="0.35">
      <c r="A499" s="29">
        <v>45843</v>
      </c>
      <c r="B499" s="30" t="s">
        <v>64</v>
      </c>
      <c r="C499" s="31" t="str">
        <f>VLOOKUP(B499,'Kode Data'!$B$3:$C$23,2,0)</f>
        <v>Tepung Terigu Protein Rendah</v>
      </c>
      <c r="D499" s="30" t="str">
        <f>VLOOKUP(LEFT(B499,2),'Kode Data'!$E$3:$G$6,3,0)</f>
        <v>Produk</v>
      </c>
      <c r="E499" s="31" t="s">
        <v>79</v>
      </c>
      <c r="F499" s="30">
        <v>0</v>
      </c>
      <c r="G499" s="30">
        <v>550</v>
      </c>
      <c r="H499" s="30">
        <v>3300</v>
      </c>
      <c r="I499" s="30">
        <v>2750</v>
      </c>
      <c r="J499" s="30" t="s">
        <v>80</v>
      </c>
      <c r="K499" s="32" t="s">
        <v>90</v>
      </c>
    </row>
    <row r="500" spans="1:11" ht="14.5" x14ac:dyDescent="0.35">
      <c r="A500" s="29">
        <v>45844</v>
      </c>
      <c r="B500" s="30" t="s">
        <v>68</v>
      </c>
      <c r="C500" s="31" t="str">
        <f>VLOOKUP(B500,'Kode Data'!$B$3:$C$23,2,0)</f>
        <v>Tepung Terigu Khusus Kue</v>
      </c>
      <c r="D500" s="30" t="str">
        <f>VLOOKUP(LEFT(B500,2),'Kode Data'!$E$3:$G$6,3,0)</f>
        <v>Produk</v>
      </c>
      <c r="E500" s="31" t="s">
        <v>89</v>
      </c>
      <c r="F500" s="30">
        <v>0</v>
      </c>
      <c r="G500" s="30">
        <v>450</v>
      </c>
      <c r="H500" s="30">
        <v>3000</v>
      </c>
      <c r="I500" s="30">
        <v>2550</v>
      </c>
      <c r="J500" s="30" t="s">
        <v>80</v>
      </c>
      <c r="K500" s="32" t="s">
        <v>90</v>
      </c>
    </row>
    <row r="501" spans="1:11" ht="14.5" x14ac:dyDescent="0.35">
      <c r="A501" s="33">
        <v>45845</v>
      </c>
      <c r="B501" s="30" t="s">
        <v>4</v>
      </c>
      <c r="C501" s="31" t="str">
        <f>VLOOKUP(B501,'Kode Data'!$B$3:$C$23,2,0)</f>
        <v>Gandum Hard Wheat</v>
      </c>
      <c r="D501" s="30" t="str">
        <f>VLOOKUP(LEFT(B501,2),'Kode Data'!$E$3:$G$6,3,0)</f>
        <v>Bahan Baku</v>
      </c>
      <c r="E501" s="31" t="s">
        <v>98</v>
      </c>
      <c r="F501" s="30">
        <v>0</v>
      </c>
      <c r="G501" s="30">
        <v>450</v>
      </c>
      <c r="H501" s="30">
        <v>3000</v>
      </c>
      <c r="I501" s="30">
        <v>2550</v>
      </c>
      <c r="J501" s="30" t="s">
        <v>87</v>
      </c>
      <c r="K501" s="32" t="s">
        <v>104</v>
      </c>
    </row>
    <row r="502" spans="1:11" ht="14.5" x14ac:dyDescent="0.35">
      <c r="A502" s="29">
        <v>45846</v>
      </c>
      <c r="B502" s="30" t="s">
        <v>50</v>
      </c>
      <c r="C502" s="31" t="str">
        <f>VLOOKUP(B502,'Kode Data'!$B$3:$C$23,2,0)</f>
        <v>Plastik Kemasan 1 Kg</v>
      </c>
      <c r="D502" s="30" t="str">
        <f>VLOOKUP(LEFT(B502,2),'Kode Data'!$E$3:$G$6,3,0)</f>
        <v>Kemasan</v>
      </c>
      <c r="E502" s="31" t="s">
        <v>86</v>
      </c>
      <c r="F502" s="30">
        <v>1000</v>
      </c>
      <c r="G502" s="30">
        <v>0</v>
      </c>
      <c r="H502" s="30">
        <v>9300</v>
      </c>
      <c r="I502" s="30">
        <v>10300</v>
      </c>
      <c r="J502" s="30" t="s">
        <v>80</v>
      </c>
      <c r="K502" s="32" t="s">
        <v>85</v>
      </c>
    </row>
    <row r="503" spans="1:11" ht="14.5" x14ac:dyDescent="0.35">
      <c r="A503" s="33">
        <v>45846</v>
      </c>
      <c r="B503" s="30" t="s">
        <v>56</v>
      </c>
      <c r="C503" s="31" t="str">
        <f>VLOOKUP(B503,'Kode Data'!$B$3:$C$23,2,0)</f>
        <v>Label Produk</v>
      </c>
      <c r="D503" s="30" t="str">
        <f>VLOOKUP(LEFT(B503,2),'Kode Data'!$E$3:$G$6,3,0)</f>
        <v>Kemasan</v>
      </c>
      <c r="E503" s="31" t="s">
        <v>103</v>
      </c>
      <c r="F503" s="30">
        <v>0</v>
      </c>
      <c r="G503" s="30">
        <v>400</v>
      </c>
      <c r="H503" s="30">
        <v>2250</v>
      </c>
      <c r="I503" s="30">
        <v>1850</v>
      </c>
      <c r="J503" s="30" t="s">
        <v>80</v>
      </c>
      <c r="K503" s="32" t="s">
        <v>93</v>
      </c>
    </row>
    <row r="504" spans="1:11" ht="14.5" x14ac:dyDescent="0.35">
      <c r="A504" s="33">
        <v>45847</v>
      </c>
      <c r="B504" s="30" t="s">
        <v>24</v>
      </c>
      <c r="C504" s="31" t="str">
        <f>VLOOKUP(B504,'Kode Data'!$B$3:$C$23,2,0)</f>
        <v>Germ Gandum</v>
      </c>
      <c r="D504" s="30" t="str">
        <f>VLOOKUP(LEFT(B504,2),'Kode Data'!$E$3:$G$6,3,0)</f>
        <v>Bahan Baku</v>
      </c>
      <c r="E504" s="31" t="s">
        <v>79</v>
      </c>
      <c r="F504" s="30">
        <v>0</v>
      </c>
      <c r="G504" s="30">
        <v>220</v>
      </c>
      <c r="H504" s="30">
        <v>1880</v>
      </c>
      <c r="I504" s="30">
        <v>1660</v>
      </c>
      <c r="J504" s="30" t="s">
        <v>87</v>
      </c>
      <c r="K504" s="32" t="s">
        <v>104</v>
      </c>
    </row>
    <row r="505" spans="1:11" ht="14.5" x14ac:dyDescent="0.35">
      <c r="A505" s="29">
        <v>45848</v>
      </c>
      <c r="B505" s="30" t="s">
        <v>38</v>
      </c>
      <c r="C505" s="31" t="str">
        <f>VLOOKUP(B505,'Kode Data'!$B$3:$C$23,2,0)</f>
        <v>Improver Tepung</v>
      </c>
      <c r="D505" s="30" t="str">
        <f>VLOOKUP(LEFT(B505,2),'Kode Data'!$E$3:$G$6,3,0)</f>
        <v>Bahan Tambahan</v>
      </c>
      <c r="E505" s="31" t="s">
        <v>107</v>
      </c>
      <c r="F505" s="30">
        <v>0</v>
      </c>
      <c r="G505" s="30">
        <v>140</v>
      </c>
      <c r="H505" s="30">
        <v>570</v>
      </c>
      <c r="I505" s="30">
        <v>430</v>
      </c>
      <c r="J505" s="30" t="s">
        <v>87</v>
      </c>
      <c r="K505" s="32" t="s">
        <v>104</v>
      </c>
    </row>
    <row r="506" spans="1:11" ht="14.5" x14ac:dyDescent="0.35">
      <c r="A506" s="29">
        <v>45848</v>
      </c>
      <c r="B506" s="30" t="s">
        <v>62</v>
      </c>
      <c r="C506" s="31" t="str">
        <f>VLOOKUP(B506,'Kode Data'!$B$3:$C$23,2,0)</f>
        <v>Tepung Terigu Serbaguna</v>
      </c>
      <c r="D506" s="30" t="str">
        <f>VLOOKUP(LEFT(B506,2),'Kode Data'!$E$3:$G$6,3,0)</f>
        <v>Produk</v>
      </c>
      <c r="E506" s="31" t="s">
        <v>79</v>
      </c>
      <c r="F506" s="30">
        <v>0</v>
      </c>
      <c r="G506" s="30">
        <v>500</v>
      </c>
      <c r="H506" s="30">
        <v>2300</v>
      </c>
      <c r="I506" s="30">
        <v>1800</v>
      </c>
      <c r="J506" s="30" t="s">
        <v>80</v>
      </c>
      <c r="K506" s="32" t="s">
        <v>90</v>
      </c>
    </row>
    <row r="507" spans="1:11" ht="14.5" x14ac:dyDescent="0.35">
      <c r="A507" s="29">
        <v>45848</v>
      </c>
      <c r="B507" s="30" t="s">
        <v>46</v>
      </c>
      <c r="C507" s="31" t="str">
        <f>VLOOKUP(B507,'Kode Data'!$B$3:$C$23,2,0)</f>
        <v>Karung Kemasan 25 Kg</v>
      </c>
      <c r="D507" s="30" t="str">
        <f>VLOOKUP(LEFT(B507,2),'Kode Data'!$E$3:$G$6,3,0)</f>
        <v>Kemasan</v>
      </c>
      <c r="E507" s="31" t="s">
        <v>84</v>
      </c>
      <c r="F507" s="30">
        <v>500</v>
      </c>
      <c r="G507" s="30">
        <v>0</v>
      </c>
      <c r="H507" s="30">
        <v>2850</v>
      </c>
      <c r="I507" s="30">
        <v>3350</v>
      </c>
      <c r="J507" s="30" t="s">
        <v>80</v>
      </c>
      <c r="K507" s="32" t="s">
        <v>85</v>
      </c>
    </row>
    <row r="508" spans="1:11" ht="14.5" x14ac:dyDescent="0.35">
      <c r="A508" s="29">
        <v>45848</v>
      </c>
      <c r="B508" s="30" t="s">
        <v>50</v>
      </c>
      <c r="C508" s="31" t="str">
        <f>VLOOKUP(B508,'Kode Data'!$B$3:$C$23,2,0)</f>
        <v>Plastik Kemasan 1 Kg</v>
      </c>
      <c r="D508" s="30" t="str">
        <f>VLOOKUP(LEFT(B508,2),'Kode Data'!$E$3:$G$6,3,0)</f>
        <v>Kemasan</v>
      </c>
      <c r="E508" s="31" t="s">
        <v>92</v>
      </c>
      <c r="F508" s="30">
        <v>0</v>
      </c>
      <c r="G508" s="30">
        <v>600</v>
      </c>
      <c r="H508" s="30">
        <v>10300</v>
      </c>
      <c r="I508" s="30">
        <v>9700</v>
      </c>
      <c r="J508" s="30" t="s">
        <v>80</v>
      </c>
      <c r="K508" s="32" t="s">
        <v>93</v>
      </c>
    </row>
    <row r="509" spans="1:11" ht="14.5" x14ac:dyDescent="0.35">
      <c r="A509" s="29">
        <v>45849</v>
      </c>
      <c r="B509" s="30" t="s">
        <v>34</v>
      </c>
      <c r="C509" s="31" t="str">
        <f>VLOOKUP(B509,'Kode Data'!$B$3:$C$23,2,0)</f>
        <v>Tepung Premix</v>
      </c>
      <c r="D509" s="30" t="str">
        <f>VLOOKUP(LEFT(B509,2),'Kode Data'!$E$3:$G$6,3,0)</f>
        <v>Bahan Tambahan</v>
      </c>
      <c r="E509" s="31" t="s">
        <v>79</v>
      </c>
      <c r="F509" s="30">
        <v>0</v>
      </c>
      <c r="G509" s="30">
        <v>190</v>
      </c>
      <c r="H509" s="30">
        <v>970</v>
      </c>
      <c r="I509" s="30">
        <v>780</v>
      </c>
      <c r="J509" s="30" t="s">
        <v>87</v>
      </c>
      <c r="K509" s="32" t="s">
        <v>104</v>
      </c>
    </row>
    <row r="510" spans="1:11" ht="14.5" x14ac:dyDescent="0.35">
      <c r="A510" s="33">
        <v>45849</v>
      </c>
      <c r="B510" s="30" t="s">
        <v>54</v>
      </c>
      <c r="C510" s="31" t="str">
        <f>VLOOKUP(B510,'Kode Data'!$B$3:$C$23,2,0)</f>
        <v>Karton Box</v>
      </c>
      <c r="D510" s="30" t="str">
        <f>VLOOKUP(LEFT(B510,2),'Kode Data'!$E$3:$G$6,3,0)</f>
        <v>Kemasan</v>
      </c>
      <c r="E510" s="31" t="s">
        <v>109</v>
      </c>
      <c r="F510" s="30">
        <v>0</v>
      </c>
      <c r="G510" s="30">
        <v>500</v>
      </c>
      <c r="H510" s="30">
        <v>10450</v>
      </c>
      <c r="I510" s="30">
        <v>9950</v>
      </c>
      <c r="J510" s="30" t="s">
        <v>80</v>
      </c>
      <c r="K510" s="32" t="s">
        <v>93</v>
      </c>
    </row>
    <row r="511" spans="1:11" ht="14.5" x14ac:dyDescent="0.35">
      <c r="A511" s="33">
        <v>45849</v>
      </c>
      <c r="B511" s="30" t="s">
        <v>58</v>
      </c>
      <c r="C511" s="31" t="str">
        <f>VLOOKUP(B511,'Kode Data'!$B$3:$C$23,2,0)</f>
        <v>Pallet Kayu</v>
      </c>
      <c r="D511" s="30" t="str">
        <f>VLOOKUP(LEFT(B511,2),'Kode Data'!$E$3:$G$6,3,0)</f>
        <v>Kemasan</v>
      </c>
      <c r="E511" s="31" t="s">
        <v>94</v>
      </c>
      <c r="F511" s="30">
        <v>0</v>
      </c>
      <c r="G511" s="30">
        <v>60</v>
      </c>
      <c r="H511" s="30">
        <v>300</v>
      </c>
      <c r="I511" s="30">
        <v>240</v>
      </c>
      <c r="J511" s="30" t="s">
        <v>80</v>
      </c>
      <c r="K511" s="32" t="s">
        <v>93</v>
      </c>
    </row>
    <row r="512" spans="1:11" ht="14.5" x14ac:dyDescent="0.35">
      <c r="A512" s="33">
        <v>45849</v>
      </c>
      <c r="B512" s="30" t="s">
        <v>14</v>
      </c>
      <c r="C512" s="31" t="str">
        <f>VLOOKUP(B512,'Kode Data'!$B$3:$C$23,2,0)</f>
        <v>Gandum Durum</v>
      </c>
      <c r="D512" s="30" t="str">
        <f>VLOOKUP(LEFT(B512,2),'Kode Data'!$E$3:$G$6,3,0)</f>
        <v>Bahan Baku</v>
      </c>
      <c r="E512" s="31" t="s">
        <v>79</v>
      </c>
      <c r="F512" s="30">
        <v>260</v>
      </c>
      <c r="G512" s="30">
        <v>0</v>
      </c>
      <c r="H512" s="30">
        <v>1450</v>
      </c>
      <c r="I512" s="30">
        <v>1710</v>
      </c>
      <c r="J512" s="30" t="s">
        <v>87</v>
      </c>
      <c r="K512" s="32" t="s">
        <v>110</v>
      </c>
    </row>
    <row r="513" spans="1:11" ht="14.5" x14ac:dyDescent="0.35">
      <c r="A513" s="29">
        <v>45850</v>
      </c>
      <c r="B513" s="30" t="s">
        <v>26</v>
      </c>
      <c r="C513" s="31" t="str">
        <f>VLOOKUP(B513,'Kode Data'!$B$3:$C$23,2,0)</f>
        <v>Enzim Baking</v>
      </c>
      <c r="D513" s="30" t="str">
        <f>VLOOKUP(LEFT(B513,2),'Kode Data'!$E$3:$G$6,3,0)</f>
        <v>Bahan Tambahan</v>
      </c>
      <c r="E513" s="31" t="s">
        <v>106</v>
      </c>
      <c r="F513" s="30">
        <v>0</v>
      </c>
      <c r="G513" s="30">
        <v>105</v>
      </c>
      <c r="H513" s="30">
        <v>385</v>
      </c>
      <c r="I513" s="30">
        <v>280</v>
      </c>
      <c r="J513" s="30" t="s">
        <v>87</v>
      </c>
      <c r="K513" s="32" t="s">
        <v>104</v>
      </c>
    </row>
    <row r="514" spans="1:11" ht="14.5" x14ac:dyDescent="0.35">
      <c r="A514" s="29">
        <v>45850</v>
      </c>
      <c r="B514" s="30" t="s">
        <v>60</v>
      </c>
      <c r="C514" s="31" t="str">
        <f>VLOOKUP(B514,'Kode Data'!$B$3:$C$23,2,0)</f>
        <v>Tepung Terigu Protein Tinggi</v>
      </c>
      <c r="D514" s="30" t="str">
        <f>VLOOKUP(LEFT(B514,2),'Kode Data'!$E$3:$G$6,3,0)</f>
        <v>Produk</v>
      </c>
      <c r="E514" s="31" t="s">
        <v>108</v>
      </c>
      <c r="F514" s="30">
        <v>0</v>
      </c>
      <c r="G514" s="30">
        <v>700</v>
      </c>
      <c r="H514" s="30">
        <v>2300</v>
      </c>
      <c r="I514" s="30">
        <v>1600</v>
      </c>
      <c r="J514" s="30" t="s">
        <v>80</v>
      </c>
      <c r="K514" s="32" t="s">
        <v>90</v>
      </c>
    </row>
    <row r="515" spans="1:11" ht="14.5" x14ac:dyDescent="0.35">
      <c r="A515" s="29">
        <v>45850</v>
      </c>
      <c r="B515" s="30" t="s">
        <v>46</v>
      </c>
      <c r="C515" s="31" t="str">
        <f>VLOOKUP(B515,'Kode Data'!$B$3:$C$23,2,0)</f>
        <v>Karung Kemasan 25 Kg</v>
      </c>
      <c r="D515" s="30" t="str">
        <f>VLOOKUP(LEFT(B515,2),'Kode Data'!$E$3:$G$6,3,0)</f>
        <v>Kemasan</v>
      </c>
      <c r="E515" s="31" t="s">
        <v>86</v>
      </c>
      <c r="F515" s="30">
        <v>0</v>
      </c>
      <c r="G515" s="30">
        <v>300</v>
      </c>
      <c r="H515" s="30">
        <v>3350</v>
      </c>
      <c r="I515" s="30">
        <v>3050</v>
      </c>
      <c r="J515" s="30" t="s">
        <v>80</v>
      </c>
      <c r="K515" s="32" t="s">
        <v>93</v>
      </c>
    </row>
    <row r="516" spans="1:11" ht="14.5" x14ac:dyDescent="0.35">
      <c r="A516" s="29">
        <v>45850</v>
      </c>
      <c r="B516" s="30" t="s">
        <v>50</v>
      </c>
      <c r="C516" s="31" t="str">
        <f>VLOOKUP(B516,'Kode Data'!$B$3:$C$23,2,0)</f>
        <v>Plastik Kemasan 1 Kg</v>
      </c>
      <c r="D516" s="30" t="str">
        <f>VLOOKUP(LEFT(B516,2),'Kode Data'!$E$3:$G$6,3,0)</f>
        <v>Kemasan</v>
      </c>
      <c r="E516" s="31" t="s">
        <v>99</v>
      </c>
      <c r="F516" s="30">
        <v>1100</v>
      </c>
      <c r="G516" s="30">
        <v>0</v>
      </c>
      <c r="H516" s="30">
        <v>9700</v>
      </c>
      <c r="I516" s="30">
        <v>10800</v>
      </c>
      <c r="J516" s="30" t="s">
        <v>80</v>
      </c>
      <c r="K516" s="32" t="s">
        <v>85</v>
      </c>
    </row>
    <row r="517" spans="1:11" ht="14.5" x14ac:dyDescent="0.35">
      <c r="A517" s="33">
        <v>45850</v>
      </c>
      <c r="B517" s="30" t="s">
        <v>9</v>
      </c>
      <c r="C517" s="31" t="str">
        <f>VLOOKUP(B517,'Kode Data'!$B$3:$C$23,2,0)</f>
        <v>Gandum Soft Wheat</v>
      </c>
      <c r="D517" s="30" t="str">
        <f>VLOOKUP(LEFT(B517,2),'Kode Data'!$E$3:$G$6,3,0)</f>
        <v>Bahan Baku</v>
      </c>
      <c r="E517" s="31" t="s">
        <v>89</v>
      </c>
      <c r="F517" s="30">
        <v>0</v>
      </c>
      <c r="G517" s="30">
        <v>350</v>
      </c>
      <c r="H517" s="30">
        <v>2500</v>
      </c>
      <c r="I517" s="30">
        <v>2150</v>
      </c>
      <c r="J517" s="30" t="s">
        <v>87</v>
      </c>
      <c r="K517" s="32" t="s">
        <v>104</v>
      </c>
    </row>
    <row r="518" spans="1:11" ht="14.5" x14ac:dyDescent="0.35">
      <c r="A518" s="33">
        <v>45850</v>
      </c>
      <c r="B518" s="30" t="s">
        <v>19</v>
      </c>
      <c r="C518" s="31" t="str">
        <f>VLOOKUP(B518,'Kode Data'!$B$3:$C$23,2,0)</f>
        <v>Bran Gandum</v>
      </c>
      <c r="D518" s="30" t="str">
        <f>VLOOKUP(LEFT(B518,2),'Kode Data'!$E$3:$G$6,3,0)</f>
        <v>Bahan Baku</v>
      </c>
      <c r="E518" s="31" t="s">
        <v>98</v>
      </c>
      <c r="F518" s="30">
        <v>0</v>
      </c>
      <c r="G518" s="30">
        <v>300</v>
      </c>
      <c r="H518" s="30">
        <v>2250</v>
      </c>
      <c r="I518" s="30">
        <v>1950</v>
      </c>
      <c r="J518" s="30" t="s">
        <v>87</v>
      </c>
      <c r="K518" s="32" t="s">
        <v>104</v>
      </c>
    </row>
    <row r="519" spans="1:11" ht="14.5" x14ac:dyDescent="0.35">
      <c r="A519" s="29">
        <v>45851</v>
      </c>
      <c r="B519" s="30" t="s">
        <v>30</v>
      </c>
      <c r="C519" s="31" t="str">
        <f>VLOOKUP(B519,'Kode Data'!$B$3:$C$23,2,0)</f>
        <v>Vitamin Fortifikasi</v>
      </c>
      <c r="D519" s="30" t="str">
        <f>VLOOKUP(LEFT(B519,2),'Kode Data'!$E$3:$G$6,3,0)</f>
        <v>Bahan Tambahan</v>
      </c>
      <c r="E519" s="31" t="s">
        <v>112</v>
      </c>
      <c r="F519" s="30">
        <v>0</v>
      </c>
      <c r="G519" s="30">
        <v>90</v>
      </c>
      <c r="H519" s="30">
        <v>715</v>
      </c>
      <c r="I519" s="30">
        <v>625</v>
      </c>
      <c r="J519" s="30" t="s">
        <v>87</v>
      </c>
      <c r="K519" s="32" t="s">
        <v>104</v>
      </c>
    </row>
    <row r="520" spans="1:11" ht="14.5" x14ac:dyDescent="0.35">
      <c r="A520" s="29">
        <v>45851</v>
      </c>
      <c r="B520" s="30" t="s">
        <v>42</v>
      </c>
      <c r="C520" s="31" t="str">
        <f>VLOOKUP(B520,'Kode Data'!$B$3:$C$23,2,0)</f>
        <v>Calcium Propionate</v>
      </c>
      <c r="D520" s="30" t="str">
        <f>VLOOKUP(LEFT(B520,2),'Kode Data'!$E$3:$G$6,3,0)</f>
        <v>Bahan Tambahan</v>
      </c>
      <c r="E520" s="31" t="s">
        <v>95</v>
      </c>
      <c r="F520" s="30">
        <v>0</v>
      </c>
      <c r="G520" s="30">
        <v>35</v>
      </c>
      <c r="H520" s="30">
        <v>545</v>
      </c>
      <c r="I520" s="30">
        <v>510</v>
      </c>
      <c r="J520" s="30" t="s">
        <v>87</v>
      </c>
      <c r="K520" s="32" t="s">
        <v>104</v>
      </c>
    </row>
    <row r="521" spans="1:11" ht="14.5" x14ac:dyDescent="0.35">
      <c r="A521" s="29">
        <v>45853</v>
      </c>
      <c r="B521" s="30" t="s">
        <v>46</v>
      </c>
      <c r="C521" s="31" t="str">
        <f>VLOOKUP(B521,'Kode Data'!$B$3:$C$23,2,0)</f>
        <v>Karung Kemasan 25 Kg</v>
      </c>
      <c r="D521" s="30" t="str">
        <f>VLOOKUP(LEFT(B521,2),'Kode Data'!$E$3:$G$6,3,0)</f>
        <v>Kemasan</v>
      </c>
      <c r="E521" s="31" t="s">
        <v>97</v>
      </c>
      <c r="F521" s="30">
        <v>400</v>
      </c>
      <c r="G521" s="30">
        <v>0</v>
      </c>
      <c r="H521" s="30">
        <v>3050</v>
      </c>
      <c r="I521" s="30">
        <v>3450</v>
      </c>
      <c r="J521" s="30" t="s">
        <v>80</v>
      </c>
      <c r="K521" s="32" t="s">
        <v>85</v>
      </c>
    </row>
    <row r="522" spans="1:11" ht="14.5" x14ac:dyDescent="0.35">
      <c r="A522" s="33">
        <v>45853</v>
      </c>
      <c r="B522" s="30" t="s">
        <v>4</v>
      </c>
      <c r="C522" s="31" t="str">
        <f>VLOOKUP(B522,'Kode Data'!$B$3:$C$23,2,0)</f>
        <v>Gandum Hard Wheat</v>
      </c>
      <c r="D522" s="30" t="str">
        <f>VLOOKUP(LEFT(B522,2),'Kode Data'!$E$3:$G$6,3,0)</f>
        <v>Bahan Baku</v>
      </c>
      <c r="E522" s="31" t="s">
        <v>89</v>
      </c>
      <c r="F522" s="30">
        <v>600</v>
      </c>
      <c r="G522" s="30">
        <v>0</v>
      </c>
      <c r="H522" s="30">
        <v>2550</v>
      </c>
      <c r="I522" s="30">
        <v>3150</v>
      </c>
      <c r="J522" s="30" t="s">
        <v>87</v>
      </c>
      <c r="K522" s="32" t="s">
        <v>88</v>
      </c>
    </row>
    <row r="523" spans="1:11" ht="14.5" x14ac:dyDescent="0.35">
      <c r="A523" s="33">
        <v>45854</v>
      </c>
      <c r="B523" s="30" t="s">
        <v>56</v>
      </c>
      <c r="C523" s="31" t="str">
        <f>VLOOKUP(B523,'Kode Data'!$B$3:$C$23,2,0)</f>
        <v>Label Produk</v>
      </c>
      <c r="D523" s="30" t="str">
        <f>VLOOKUP(LEFT(B523,2),'Kode Data'!$E$3:$G$6,3,0)</f>
        <v>Kemasan</v>
      </c>
      <c r="E523" s="31" t="s">
        <v>120</v>
      </c>
      <c r="F523" s="30">
        <v>300</v>
      </c>
      <c r="G523" s="30">
        <v>0</v>
      </c>
      <c r="H523" s="30">
        <v>1850</v>
      </c>
      <c r="I523" s="30">
        <v>2150</v>
      </c>
      <c r="J523" s="30" t="s">
        <v>80</v>
      </c>
      <c r="K523" s="32" t="s">
        <v>85</v>
      </c>
    </row>
    <row r="524" spans="1:11" ht="14.5" x14ac:dyDescent="0.35">
      <c r="A524" s="33">
        <v>45854</v>
      </c>
      <c r="B524" s="30" t="s">
        <v>24</v>
      </c>
      <c r="C524" s="31" t="str">
        <f>VLOOKUP(B524,'Kode Data'!$B$3:$C$23,2,0)</f>
        <v>Germ Gandum</v>
      </c>
      <c r="D524" s="30" t="str">
        <f>VLOOKUP(LEFT(B524,2),'Kode Data'!$E$3:$G$6,3,0)</f>
        <v>Bahan Baku</v>
      </c>
      <c r="E524" s="31" t="s">
        <v>89</v>
      </c>
      <c r="F524" s="30">
        <v>260</v>
      </c>
      <c r="G524" s="30">
        <v>0</v>
      </c>
      <c r="H524" s="30">
        <v>1660</v>
      </c>
      <c r="I524" s="30">
        <v>1920</v>
      </c>
      <c r="J524" s="30" t="s">
        <v>87</v>
      </c>
      <c r="K524" s="32" t="s">
        <v>110</v>
      </c>
    </row>
    <row r="525" spans="1:11" ht="14.5" x14ac:dyDescent="0.35">
      <c r="A525" s="29">
        <v>45856</v>
      </c>
      <c r="B525" s="30" t="s">
        <v>34</v>
      </c>
      <c r="C525" s="31" t="str">
        <f>VLOOKUP(B525,'Kode Data'!$B$3:$C$23,2,0)</f>
        <v>Tepung Premix</v>
      </c>
      <c r="D525" s="30" t="str">
        <f>VLOOKUP(LEFT(B525,2),'Kode Data'!$E$3:$G$6,3,0)</f>
        <v>Bahan Tambahan</v>
      </c>
      <c r="E525" s="31" t="s">
        <v>89</v>
      </c>
      <c r="F525" s="30">
        <v>160</v>
      </c>
      <c r="G525" s="30">
        <v>0</v>
      </c>
      <c r="H525" s="30">
        <v>780</v>
      </c>
      <c r="I525" s="30">
        <v>940</v>
      </c>
      <c r="J525" s="30" t="s">
        <v>87</v>
      </c>
      <c r="K525" s="32" t="s">
        <v>96</v>
      </c>
    </row>
    <row r="526" spans="1:11" ht="14.5" x14ac:dyDescent="0.35">
      <c r="A526" s="29">
        <v>45856</v>
      </c>
      <c r="B526" s="30" t="s">
        <v>62</v>
      </c>
      <c r="C526" s="31" t="str">
        <f>VLOOKUP(B526,'Kode Data'!$B$3:$C$23,2,0)</f>
        <v>Tepung Terigu Serbaguna</v>
      </c>
      <c r="D526" s="30" t="str">
        <f>VLOOKUP(LEFT(B526,2),'Kode Data'!$E$3:$G$6,3,0)</f>
        <v>Produk</v>
      </c>
      <c r="E526" s="31" t="s">
        <v>89</v>
      </c>
      <c r="F526" s="30">
        <v>700</v>
      </c>
      <c r="G526" s="30">
        <v>0</v>
      </c>
      <c r="H526" s="30">
        <v>1800</v>
      </c>
      <c r="I526" s="30">
        <v>2500</v>
      </c>
      <c r="J526" s="30" t="s">
        <v>80</v>
      </c>
      <c r="K526" s="32" t="s">
        <v>81</v>
      </c>
    </row>
    <row r="527" spans="1:11" ht="14.5" x14ac:dyDescent="0.35">
      <c r="A527" s="33">
        <v>45856</v>
      </c>
      <c r="B527" s="30" t="s">
        <v>58</v>
      </c>
      <c r="C527" s="31" t="str">
        <f>VLOOKUP(B527,'Kode Data'!$B$3:$C$23,2,0)</f>
        <v>Pallet Kayu</v>
      </c>
      <c r="D527" s="30" t="str">
        <f>VLOOKUP(LEFT(B527,2),'Kode Data'!$E$3:$G$6,3,0)</f>
        <v>Kemasan</v>
      </c>
      <c r="E527" s="31" t="s">
        <v>105</v>
      </c>
      <c r="F527" s="30">
        <v>50</v>
      </c>
      <c r="G527" s="30">
        <v>0</v>
      </c>
      <c r="H527" s="30">
        <v>240</v>
      </c>
      <c r="I527" s="30">
        <v>290</v>
      </c>
      <c r="J527" s="30" t="s">
        <v>80</v>
      </c>
      <c r="K527" s="32" t="s">
        <v>85</v>
      </c>
    </row>
    <row r="528" spans="1:11" ht="14.5" x14ac:dyDescent="0.35">
      <c r="A528" s="29">
        <v>45857</v>
      </c>
      <c r="B528" s="30" t="s">
        <v>38</v>
      </c>
      <c r="C528" s="31" t="str">
        <f>VLOOKUP(B528,'Kode Data'!$B$3:$C$23,2,0)</f>
        <v>Improver Tepung</v>
      </c>
      <c r="D528" s="30" t="str">
        <f>VLOOKUP(LEFT(B528,2),'Kode Data'!$E$3:$G$6,3,0)</f>
        <v>Bahan Tambahan</v>
      </c>
      <c r="E528" s="31" t="s">
        <v>117</v>
      </c>
      <c r="F528" s="30">
        <v>150</v>
      </c>
      <c r="G528" s="30">
        <v>0</v>
      </c>
      <c r="H528" s="30">
        <v>430</v>
      </c>
      <c r="I528" s="30">
        <v>580</v>
      </c>
      <c r="J528" s="30" t="s">
        <v>87</v>
      </c>
      <c r="K528" s="32" t="s">
        <v>116</v>
      </c>
    </row>
    <row r="529" spans="1:11" ht="14.5" x14ac:dyDescent="0.35">
      <c r="A529" s="33">
        <v>45857</v>
      </c>
      <c r="B529" s="30" t="s">
        <v>9</v>
      </c>
      <c r="C529" s="31" t="str">
        <f>VLOOKUP(B529,'Kode Data'!$B$3:$C$23,2,0)</f>
        <v>Gandum Soft Wheat</v>
      </c>
      <c r="D529" s="30" t="str">
        <f>VLOOKUP(LEFT(B529,2),'Kode Data'!$E$3:$G$6,3,0)</f>
        <v>Bahan Baku</v>
      </c>
      <c r="E529" s="31" t="s">
        <v>98</v>
      </c>
      <c r="F529" s="30">
        <v>350</v>
      </c>
      <c r="G529" s="30">
        <v>0</v>
      </c>
      <c r="H529" s="30">
        <v>2150</v>
      </c>
      <c r="I529" s="30">
        <v>2500</v>
      </c>
      <c r="J529" s="30" t="s">
        <v>87</v>
      </c>
      <c r="K529" s="32" t="s">
        <v>110</v>
      </c>
    </row>
    <row r="530" spans="1:11" ht="14.5" x14ac:dyDescent="0.35">
      <c r="A530" s="29">
        <v>45858</v>
      </c>
      <c r="B530" s="30" t="s">
        <v>26</v>
      </c>
      <c r="C530" s="31" t="str">
        <f>VLOOKUP(B530,'Kode Data'!$B$3:$C$23,2,0)</f>
        <v>Enzim Baking</v>
      </c>
      <c r="D530" s="30" t="str">
        <f>VLOOKUP(LEFT(B530,2),'Kode Data'!$E$3:$G$6,3,0)</f>
        <v>Bahan Tambahan</v>
      </c>
      <c r="E530" s="31" t="s">
        <v>115</v>
      </c>
      <c r="F530" s="30">
        <v>100</v>
      </c>
      <c r="G530" s="30">
        <v>0</v>
      </c>
      <c r="H530" s="30">
        <v>280</v>
      </c>
      <c r="I530" s="30">
        <v>380</v>
      </c>
      <c r="J530" s="30" t="s">
        <v>87</v>
      </c>
      <c r="K530" s="32" t="s">
        <v>116</v>
      </c>
    </row>
    <row r="531" spans="1:11" ht="14.5" x14ac:dyDescent="0.35">
      <c r="A531" s="29">
        <v>45858</v>
      </c>
      <c r="B531" s="30" t="s">
        <v>42</v>
      </c>
      <c r="C531" s="31" t="str">
        <f>VLOOKUP(B531,'Kode Data'!$B$3:$C$23,2,0)</f>
        <v>Calcium Propionate</v>
      </c>
      <c r="D531" s="30" t="str">
        <f>VLOOKUP(LEFT(B531,2),'Kode Data'!$E$3:$G$6,3,0)</f>
        <v>Bahan Tambahan</v>
      </c>
      <c r="E531" s="31" t="s">
        <v>111</v>
      </c>
      <c r="F531" s="30">
        <v>50</v>
      </c>
      <c r="G531" s="30">
        <v>0</v>
      </c>
      <c r="H531" s="30">
        <v>510</v>
      </c>
      <c r="I531" s="30">
        <v>560</v>
      </c>
      <c r="J531" s="30" t="s">
        <v>87</v>
      </c>
      <c r="K531" s="32" t="s">
        <v>116</v>
      </c>
    </row>
    <row r="532" spans="1:11" ht="14.5" x14ac:dyDescent="0.35">
      <c r="A532" s="29">
        <v>45858</v>
      </c>
      <c r="B532" s="30" t="s">
        <v>60</v>
      </c>
      <c r="C532" s="31" t="str">
        <f>VLOOKUP(B532,'Kode Data'!$B$3:$C$23,2,0)</f>
        <v>Tepung Terigu Protein Tinggi</v>
      </c>
      <c r="D532" s="30" t="str">
        <f>VLOOKUP(LEFT(B532,2),'Kode Data'!$E$3:$G$6,3,0)</f>
        <v>Produk</v>
      </c>
      <c r="E532" s="31" t="s">
        <v>113</v>
      </c>
      <c r="F532" s="30">
        <v>600</v>
      </c>
      <c r="G532" s="30">
        <v>0</v>
      </c>
      <c r="H532" s="30">
        <v>1600</v>
      </c>
      <c r="I532" s="30">
        <v>2200</v>
      </c>
      <c r="J532" s="30" t="s">
        <v>80</v>
      </c>
      <c r="K532" s="32" t="s">
        <v>81</v>
      </c>
    </row>
    <row r="533" spans="1:11" ht="14.5" x14ac:dyDescent="0.35">
      <c r="A533" s="33">
        <v>45858</v>
      </c>
      <c r="B533" s="30" t="s">
        <v>54</v>
      </c>
      <c r="C533" s="31" t="str">
        <f>VLOOKUP(B533,'Kode Data'!$B$3:$C$23,2,0)</f>
        <v>Karton Box</v>
      </c>
      <c r="D533" s="30" t="str">
        <f>VLOOKUP(LEFT(B533,2),'Kode Data'!$E$3:$G$6,3,0)</f>
        <v>Kemasan</v>
      </c>
      <c r="E533" s="31" t="s">
        <v>114</v>
      </c>
      <c r="F533" s="30">
        <v>800</v>
      </c>
      <c r="G533" s="30">
        <v>0</v>
      </c>
      <c r="H533" s="30">
        <v>9950</v>
      </c>
      <c r="I533" s="30">
        <v>10750</v>
      </c>
      <c r="J533" s="30" t="s">
        <v>80</v>
      </c>
      <c r="K533" s="32" t="s">
        <v>85</v>
      </c>
    </row>
    <row r="534" spans="1:11" ht="14.5" x14ac:dyDescent="0.35">
      <c r="A534" s="33">
        <v>45858</v>
      </c>
      <c r="B534" s="30" t="s">
        <v>19</v>
      </c>
      <c r="C534" s="31" t="str">
        <f>VLOOKUP(B534,'Kode Data'!$B$3:$C$23,2,0)</f>
        <v>Bran Gandum</v>
      </c>
      <c r="D534" s="30" t="str">
        <f>VLOOKUP(LEFT(B534,2),'Kode Data'!$E$3:$G$6,3,0)</f>
        <v>Bahan Baku</v>
      </c>
      <c r="E534" s="31" t="s">
        <v>118</v>
      </c>
      <c r="F534" s="30">
        <v>350</v>
      </c>
      <c r="G534" s="30">
        <v>0</v>
      </c>
      <c r="H534" s="30">
        <v>1950</v>
      </c>
      <c r="I534" s="30">
        <v>2300</v>
      </c>
      <c r="J534" s="30" t="s">
        <v>87</v>
      </c>
      <c r="K534" s="32" t="s">
        <v>110</v>
      </c>
    </row>
    <row r="535" spans="1:11" ht="14.5" x14ac:dyDescent="0.35">
      <c r="A535" s="29">
        <v>45859</v>
      </c>
      <c r="B535" s="30" t="s">
        <v>30</v>
      </c>
      <c r="C535" s="31" t="str">
        <f>VLOOKUP(B535,'Kode Data'!$B$3:$C$23,2,0)</f>
        <v>Vitamin Fortifikasi</v>
      </c>
      <c r="D535" s="30" t="str">
        <f>VLOOKUP(LEFT(B535,2),'Kode Data'!$E$3:$G$6,3,0)</f>
        <v>Bahan Tambahan</v>
      </c>
      <c r="E535" s="31" t="s">
        <v>119</v>
      </c>
      <c r="F535" s="30">
        <v>120</v>
      </c>
      <c r="G535" s="30">
        <v>0</v>
      </c>
      <c r="H535" s="30">
        <v>625</v>
      </c>
      <c r="I535" s="30">
        <v>745</v>
      </c>
      <c r="J535" s="30" t="s">
        <v>87</v>
      </c>
      <c r="K535" s="32" t="s">
        <v>116</v>
      </c>
    </row>
    <row r="536" spans="1:11" ht="14.5" x14ac:dyDescent="0.35">
      <c r="A536" s="33">
        <v>45859</v>
      </c>
      <c r="B536" s="30" t="s">
        <v>14</v>
      </c>
      <c r="C536" s="31" t="str">
        <f>VLOOKUP(B536,'Kode Data'!$B$3:$C$23,2,0)</f>
        <v>Gandum Durum</v>
      </c>
      <c r="D536" s="30" t="str">
        <f>VLOOKUP(LEFT(B536,2),'Kode Data'!$E$3:$G$6,3,0)</f>
        <v>Bahan Baku</v>
      </c>
      <c r="E536" s="31" t="s">
        <v>79</v>
      </c>
      <c r="F536" s="30">
        <v>0</v>
      </c>
      <c r="G536" s="30">
        <v>270</v>
      </c>
      <c r="H536" s="30">
        <v>1710</v>
      </c>
      <c r="I536" s="30">
        <v>1440</v>
      </c>
      <c r="J536" s="30" t="s">
        <v>87</v>
      </c>
      <c r="K536" s="32" t="s">
        <v>104</v>
      </c>
    </row>
    <row r="537" spans="1:11" ht="14.5" x14ac:dyDescent="0.35">
      <c r="A537" s="33">
        <v>45861</v>
      </c>
      <c r="B537" s="30" t="s">
        <v>56</v>
      </c>
      <c r="C537" s="31" t="str">
        <f>VLOOKUP(B537,'Kode Data'!$B$3:$C$23,2,0)</f>
        <v>Label Produk</v>
      </c>
      <c r="D537" s="30" t="str">
        <f>VLOOKUP(LEFT(B537,2),'Kode Data'!$E$3:$G$6,3,0)</f>
        <v>Kemasan</v>
      </c>
      <c r="E537" s="31" t="s">
        <v>120</v>
      </c>
      <c r="F537" s="30">
        <v>0</v>
      </c>
      <c r="G537" s="30">
        <v>300</v>
      </c>
      <c r="H537" s="30">
        <v>2150</v>
      </c>
      <c r="I537" s="30">
        <v>1850</v>
      </c>
      <c r="J537" s="30" t="s">
        <v>80</v>
      </c>
      <c r="K537" s="32" t="s">
        <v>93</v>
      </c>
    </row>
    <row r="538" spans="1:11" ht="14.5" x14ac:dyDescent="0.35">
      <c r="A538" s="33">
        <v>45861</v>
      </c>
      <c r="B538" s="30" t="s">
        <v>24</v>
      </c>
      <c r="C538" s="31" t="str">
        <f>VLOOKUP(B538,'Kode Data'!$B$3:$C$23,2,0)</f>
        <v>Germ Gandum</v>
      </c>
      <c r="D538" s="30" t="str">
        <f>VLOOKUP(LEFT(B538,2),'Kode Data'!$E$3:$G$6,3,0)</f>
        <v>Bahan Baku</v>
      </c>
      <c r="E538" s="31" t="s">
        <v>89</v>
      </c>
      <c r="F538" s="30">
        <v>0</v>
      </c>
      <c r="G538" s="30">
        <v>200</v>
      </c>
      <c r="H538" s="30">
        <v>1920</v>
      </c>
      <c r="I538" s="30">
        <v>1720</v>
      </c>
      <c r="J538" s="30" t="s">
        <v>87</v>
      </c>
      <c r="K538" s="32" t="s">
        <v>104</v>
      </c>
    </row>
    <row r="539" spans="1:11" ht="14.5" x14ac:dyDescent="0.35">
      <c r="A539" s="33">
        <v>45862</v>
      </c>
      <c r="B539" s="30" t="s">
        <v>4</v>
      </c>
      <c r="C539" s="31" t="str">
        <f>VLOOKUP(B539,'Kode Data'!$B$3:$C$23,2,0)</f>
        <v>Gandum Hard Wheat</v>
      </c>
      <c r="D539" s="30" t="str">
        <f>VLOOKUP(LEFT(B539,2),'Kode Data'!$E$3:$G$6,3,0)</f>
        <v>Bahan Baku</v>
      </c>
      <c r="E539" s="31" t="s">
        <v>79</v>
      </c>
      <c r="F539" s="30">
        <v>0</v>
      </c>
      <c r="G539" s="30">
        <v>500</v>
      </c>
      <c r="H539" s="30">
        <v>3150</v>
      </c>
      <c r="I539" s="30">
        <v>2650</v>
      </c>
      <c r="J539" s="30" t="s">
        <v>87</v>
      </c>
      <c r="K539" s="32" t="s">
        <v>104</v>
      </c>
    </row>
    <row r="540" spans="1:11" ht="14.5" x14ac:dyDescent="0.35">
      <c r="A540" s="29">
        <v>45863</v>
      </c>
      <c r="B540" s="30" t="s">
        <v>34</v>
      </c>
      <c r="C540" s="31" t="str">
        <f>VLOOKUP(B540,'Kode Data'!$B$3:$C$23,2,0)</f>
        <v>Tepung Premix</v>
      </c>
      <c r="D540" s="30" t="str">
        <f>VLOOKUP(LEFT(B540,2),'Kode Data'!$E$3:$G$6,3,0)</f>
        <v>Bahan Tambahan</v>
      </c>
      <c r="E540" s="31" t="s">
        <v>82</v>
      </c>
      <c r="F540" s="30">
        <v>0</v>
      </c>
      <c r="G540" s="30">
        <v>150</v>
      </c>
      <c r="H540" s="30">
        <v>940</v>
      </c>
      <c r="I540" s="30">
        <v>790</v>
      </c>
      <c r="J540" s="30" t="s">
        <v>87</v>
      </c>
      <c r="K540" s="32" t="s">
        <v>104</v>
      </c>
    </row>
    <row r="541" spans="1:11" ht="14.5" x14ac:dyDescent="0.35">
      <c r="A541" s="29">
        <v>45864</v>
      </c>
      <c r="B541" s="30" t="s">
        <v>62</v>
      </c>
      <c r="C541" s="31" t="str">
        <f>VLOOKUP(B541,'Kode Data'!$B$3:$C$23,2,0)</f>
        <v>Tepung Terigu Serbaguna</v>
      </c>
      <c r="D541" s="30" t="str">
        <f>VLOOKUP(LEFT(B541,2),'Kode Data'!$E$3:$G$6,3,0)</f>
        <v>Produk</v>
      </c>
      <c r="E541" s="31" t="s">
        <v>82</v>
      </c>
      <c r="F541" s="30">
        <v>0</v>
      </c>
      <c r="G541" s="30">
        <v>600</v>
      </c>
      <c r="H541" s="30">
        <v>2500</v>
      </c>
      <c r="I541" s="30">
        <v>1900</v>
      </c>
      <c r="J541" s="30" t="s">
        <v>80</v>
      </c>
      <c r="K541" s="32" t="s">
        <v>90</v>
      </c>
    </row>
    <row r="542" spans="1:11" ht="14.5" x14ac:dyDescent="0.35">
      <c r="A542" s="29">
        <v>45864</v>
      </c>
      <c r="B542" s="30" t="s">
        <v>66</v>
      </c>
      <c r="C542" s="31" t="str">
        <f>VLOOKUP(B542,'Kode Data'!$B$3:$C$23,2,0)</f>
        <v>Tepung Terigu Khusus Roti</v>
      </c>
      <c r="D542" s="30" t="str">
        <f>VLOOKUP(LEFT(B542,2),'Kode Data'!$E$3:$G$6,3,0)</f>
        <v>Produk</v>
      </c>
      <c r="E542" s="31" t="s">
        <v>82</v>
      </c>
      <c r="F542" s="30">
        <v>400</v>
      </c>
      <c r="G542" s="30">
        <v>0</v>
      </c>
      <c r="H542" s="30">
        <v>1550</v>
      </c>
      <c r="I542" s="30">
        <v>1950</v>
      </c>
      <c r="J542" s="30" t="s">
        <v>80</v>
      </c>
      <c r="K542" s="32" t="s">
        <v>81</v>
      </c>
    </row>
    <row r="543" spans="1:11" ht="14.5" x14ac:dyDescent="0.35">
      <c r="A543" s="29">
        <v>45865</v>
      </c>
      <c r="B543" s="30" t="s">
        <v>38</v>
      </c>
      <c r="C543" s="31" t="str">
        <f>VLOOKUP(B543,'Kode Data'!$B$3:$C$23,2,0)</f>
        <v>Improver Tepung</v>
      </c>
      <c r="D543" s="30" t="str">
        <f>VLOOKUP(LEFT(B543,2),'Kode Data'!$E$3:$G$6,3,0)</f>
        <v>Bahan Tambahan</v>
      </c>
      <c r="E543" s="31" t="s">
        <v>95</v>
      </c>
      <c r="F543" s="30">
        <v>0</v>
      </c>
      <c r="G543" s="30">
        <v>160</v>
      </c>
      <c r="H543" s="30">
        <v>580</v>
      </c>
      <c r="I543" s="30">
        <v>420</v>
      </c>
      <c r="J543" s="30" t="s">
        <v>87</v>
      </c>
      <c r="K543" s="32" t="s">
        <v>104</v>
      </c>
    </row>
    <row r="544" spans="1:11" ht="14.5" x14ac:dyDescent="0.35">
      <c r="A544" s="33">
        <v>45865</v>
      </c>
      <c r="B544" s="30" t="s">
        <v>58</v>
      </c>
      <c r="C544" s="31" t="str">
        <f>VLOOKUP(B544,'Kode Data'!$B$3:$C$23,2,0)</f>
        <v>Pallet Kayu</v>
      </c>
      <c r="D544" s="30" t="str">
        <f>VLOOKUP(LEFT(B544,2),'Kode Data'!$E$3:$G$6,3,0)</f>
        <v>Kemasan</v>
      </c>
      <c r="E544" s="31" t="s">
        <v>122</v>
      </c>
      <c r="F544" s="30">
        <v>0</v>
      </c>
      <c r="G544" s="30">
        <v>40</v>
      </c>
      <c r="H544" s="30">
        <v>290</v>
      </c>
      <c r="I544" s="30">
        <v>250</v>
      </c>
      <c r="J544" s="30" t="s">
        <v>80</v>
      </c>
      <c r="K544" s="32" t="s">
        <v>93</v>
      </c>
    </row>
    <row r="545" spans="1:11" ht="14.5" x14ac:dyDescent="0.35">
      <c r="A545" s="29">
        <v>45866</v>
      </c>
      <c r="B545" s="30" t="s">
        <v>42</v>
      </c>
      <c r="C545" s="31" t="str">
        <f>VLOOKUP(B545,'Kode Data'!$B$3:$C$23,2,0)</f>
        <v>Calcium Propionate</v>
      </c>
      <c r="D545" s="30" t="str">
        <f>VLOOKUP(LEFT(B545,2),'Kode Data'!$E$3:$G$6,3,0)</f>
        <v>Bahan Tambahan</v>
      </c>
      <c r="E545" s="31" t="s">
        <v>121</v>
      </c>
      <c r="F545" s="30">
        <v>0</v>
      </c>
      <c r="G545" s="30">
        <v>40</v>
      </c>
      <c r="H545" s="30">
        <v>560</v>
      </c>
      <c r="I545" s="30">
        <v>520</v>
      </c>
      <c r="J545" s="30" t="s">
        <v>87</v>
      </c>
      <c r="K545" s="32" t="s">
        <v>104</v>
      </c>
    </row>
    <row r="546" spans="1:11" ht="14.5" x14ac:dyDescent="0.35">
      <c r="A546" s="29">
        <v>45866</v>
      </c>
      <c r="B546" s="30" t="s">
        <v>60</v>
      </c>
      <c r="C546" s="31" t="str">
        <f>VLOOKUP(B546,'Kode Data'!$B$3:$C$23,2,0)</f>
        <v>Tepung Terigu Protein Tinggi</v>
      </c>
      <c r="D546" s="30" t="str">
        <f>VLOOKUP(LEFT(B546,2),'Kode Data'!$E$3:$G$6,3,0)</f>
        <v>Produk</v>
      </c>
      <c r="E546" s="31" t="s">
        <v>102</v>
      </c>
      <c r="F546" s="30">
        <v>0</v>
      </c>
      <c r="G546" s="30">
        <v>500</v>
      </c>
      <c r="H546" s="30">
        <v>2200</v>
      </c>
      <c r="I546" s="30">
        <v>1700</v>
      </c>
      <c r="J546" s="30" t="s">
        <v>80</v>
      </c>
      <c r="K546" s="32" t="s">
        <v>90</v>
      </c>
    </row>
    <row r="547" spans="1:11" ht="14.5" x14ac:dyDescent="0.35">
      <c r="A547" s="29">
        <v>45866</v>
      </c>
      <c r="B547" s="30" t="s">
        <v>66</v>
      </c>
      <c r="C547" s="31" t="str">
        <f>VLOOKUP(B547,'Kode Data'!$B$3:$C$23,2,0)</f>
        <v>Tepung Terigu Khusus Roti</v>
      </c>
      <c r="D547" s="30" t="str">
        <f>VLOOKUP(LEFT(B547,2),'Kode Data'!$E$3:$G$6,3,0)</f>
        <v>Produk</v>
      </c>
      <c r="E547" s="31" t="s">
        <v>89</v>
      </c>
      <c r="F547" s="30">
        <v>0</v>
      </c>
      <c r="G547" s="30">
        <v>300</v>
      </c>
      <c r="H547" s="30">
        <v>1950</v>
      </c>
      <c r="I547" s="30">
        <v>1650</v>
      </c>
      <c r="J547" s="30" t="s">
        <v>80</v>
      </c>
      <c r="K547" s="32" t="s">
        <v>90</v>
      </c>
    </row>
    <row r="548" spans="1:11" ht="14.5" x14ac:dyDescent="0.35">
      <c r="A548" s="33">
        <v>45866</v>
      </c>
      <c r="B548" s="30" t="s">
        <v>9</v>
      </c>
      <c r="C548" s="31" t="str">
        <f>VLOOKUP(B548,'Kode Data'!$B$3:$C$23,2,0)</f>
        <v>Gandum Soft Wheat</v>
      </c>
      <c r="D548" s="30" t="str">
        <f>VLOOKUP(LEFT(B548,2),'Kode Data'!$E$3:$G$6,3,0)</f>
        <v>Bahan Baku</v>
      </c>
      <c r="E548" s="31" t="s">
        <v>79</v>
      </c>
      <c r="F548" s="30">
        <v>0</v>
      </c>
      <c r="G548" s="30">
        <v>300</v>
      </c>
      <c r="H548" s="30">
        <v>2500</v>
      </c>
      <c r="I548" s="30">
        <v>2200</v>
      </c>
      <c r="J548" s="30" t="s">
        <v>87</v>
      </c>
      <c r="K548" s="32" t="s">
        <v>104</v>
      </c>
    </row>
    <row r="549" spans="1:11" ht="14.5" x14ac:dyDescent="0.35">
      <c r="A549" s="29">
        <v>45867</v>
      </c>
      <c r="B549" s="30" t="s">
        <v>26</v>
      </c>
      <c r="C549" s="31" t="str">
        <f>VLOOKUP(B549,'Kode Data'!$B$3:$C$23,2,0)</f>
        <v>Enzim Baking</v>
      </c>
      <c r="D549" s="30" t="str">
        <f>VLOOKUP(LEFT(B549,2),'Kode Data'!$E$3:$G$6,3,0)</f>
        <v>Bahan Tambahan</v>
      </c>
      <c r="E549" s="31" t="s">
        <v>100</v>
      </c>
      <c r="F549" s="30">
        <v>0</v>
      </c>
      <c r="G549" s="30">
        <v>90</v>
      </c>
      <c r="H549" s="30">
        <v>380</v>
      </c>
      <c r="I549" s="30">
        <v>290</v>
      </c>
      <c r="J549" s="30" t="s">
        <v>87</v>
      </c>
      <c r="K549" s="32" t="s">
        <v>104</v>
      </c>
    </row>
    <row r="550" spans="1:11" ht="14.5" x14ac:dyDescent="0.35">
      <c r="A550" s="33">
        <v>45867</v>
      </c>
      <c r="B550" s="30" t="s">
        <v>52</v>
      </c>
      <c r="C550" s="31" t="str">
        <f>VLOOKUP(B550,'Kode Data'!$B$3:$C$23,2,0)</f>
        <v>Plastik Kemasan 500 gr</v>
      </c>
      <c r="D550" s="30" t="str">
        <f>VLOOKUP(LEFT(B550,2),'Kode Data'!$E$3:$G$6,3,0)</f>
        <v>Kemasan</v>
      </c>
      <c r="E550" s="31" t="s">
        <v>84</v>
      </c>
      <c r="F550" s="30">
        <v>0</v>
      </c>
      <c r="G550" s="30">
        <v>500</v>
      </c>
      <c r="H550" s="30">
        <v>8500</v>
      </c>
      <c r="I550" s="30">
        <v>8000</v>
      </c>
      <c r="J550" s="30" t="s">
        <v>80</v>
      </c>
      <c r="K550" s="32" t="s">
        <v>93</v>
      </c>
    </row>
    <row r="551" spans="1:11" ht="14.5" x14ac:dyDescent="0.35">
      <c r="A551" s="33">
        <v>45867</v>
      </c>
      <c r="B551" s="30" t="s">
        <v>54</v>
      </c>
      <c r="C551" s="31" t="str">
        <f>VLOOKUP(B551,'Kode Data'!$B$3:$C$23,2,0)</f>
        <v>Karton Box</v>
      </c>
      <c r="D551" s="30" t="str">
        <f>VLOOKUP(LEFT(B551,2),'Kode Data'!$E$3:$G$6,3,0)</f>
        <v>Kemasan</v>
      </c>
      <c r="E551" s="31" t="s">
        <v>97</v>
      </c>
      <c r="F551" s="30">
        <v>0</v>
      </c>
      <c r="G551" s="30">
        <v>600</v>
      </c>
      <c r="H551" s="30">
        <v>10750</v>
      </c>
      <c r="I551" s="30">
        <v>10150</v>
      </c>
      <c r="J551" s="30" t="s">
        <v>80</v>
      </c>
      <c r="K551" s="32" t="s">
        <v>93</v>
      </c>
    </row>
    <row r="552" spans="1:11" ht="14.5" x14ac:dyDescent="0.35">
      <c r="A552" s="33">
        <v>45867</v>
      </c>
      <c r="B552" s="30" t="s">
        <v>19</v>
      </c>
      <c r="C552" s="31" t="str">
        <f>VLOOKUP(B552,'Kode Data'!$B$3:$C$23,2,0)</f>
        <v>Bran Gandum</v>
      </c>
      <c r="D552" s="30" t="str">
        <f>VLOOKUP(LEFT(B552,2),'Kode Data'!$E$3:$G$6,3,0)</f>
        <v>Bahan Baku</v>
      </c>
      <c r="E552" s="31" t="s">
        <v>79</v>
      </c>
      <c r="F552" s="30">
        <v>0</v>
      </c>
      <c r="G552" s="30">
        <v>250</v>
      </c>
      <c r="H552" s="30">
        <v>2300</v>
      </c>
      <c r="I552" s="30">
        <v>2050</v>
      </c>
      <c r="J552" s="30" t="s">
        <v>87</v>
      </c>
      <c r="K552" s="32" t="s">
        <v>104</v>
      </c>
    </row>
    <row r="553" spans="1:11" ht="14.5" x14ac:dyDescent="0.35">
      <c r="A553" s="33">
        <v>45868</v>
      </c>
      <c r="B553" s="30" t="s">
        <v>14</v>
      </c>
      <c r="C553" s="31" t="str">
        <f>VLOOKUP(B553,'Kode Data'!$B$3:$C$23,2,0)</f>
        <v>Gandum Durum</v>
      </c>
      <c r="D553" s="30" t="str">
        <f>VLOOKUP(LEFT(B553,2),'Kode Data'!$E$3:$G$6,3,0)</f>
        <v>Bahan Baku</v>
      </c>
      <c r="E553" s="31" t="s">
        <v>89</v>
      </c>
      <c r="F553" s="30">
        <v>340</v>
      </c>
      <c r="G553" s="30">
        <v>0</v>
      </c>
      <c r="H553" s="30">
        <v>1440</v>
      </c>
      <c r="I553" s="30">
        <v>1780</v>
      </c>
      <c r="J553" s="30" t="s">
        <v>87</v>
      </c>
      <c r="K553" s="32" t="s">
        <v>88</v>
      </c>
    </row>
    <row r="554" spans="1:11" ht="14.5" x14ac:dyDescent="0.35">
      <c r="A554" s="29">
        <v>45869</v>
      </c>
      <c r="B554" s="30" t="s">
        <v>30</v>
      </c>
      <c r="C554" s="31" t="str">
        <f>VLOOKUP(B554,'Kode Data'!$B$3:$C$23,2,0)</f>
        <v>Vitamin Fortifikasi</v>
      </c>
      <c r="D554" s="30" t="str">
        <f>VLOOKUP(LEFT(B554,2),'Kode Data'!$E$3:$G$6,3,0)</f>
        <v>Bahan Tambahan</v>
      </c>
      <c r="E554" s="31" t="s">
        <v>101</v>
      </c>
      <c r="F554" s="30">
        <v>0</v>
      </c>
      <c r="G554" s="30">
        <v>85</v>
      </c>
      <c r="H554" s="30">
        <v>745</v>
      </c>
      <c r="I554" s="30">
        <v>660</v>
      </c>
      <c r="J554" s="30" t="s">
        <v>87</v>
      </c>
      <c r="K554" s="32" t="s">
        <v>104</v>
      </c>
    </row>
    <row r="555" spans="1:11" ht="14.5" x14ac:dyDescent="0.35">
      <c r="A555" s="33">
        <v>45870</v>
      </c>
      <c r="B555" s="30" t="s">
        <v>56</v>
      </c>
      <c r="C555" s="31" t="str">
        <f>VLOOKUP(B555,'Kode Data'!$B$3:$C$23,2,0)</f>
        <v>Label Produk</v>
      </c>
      <c r="D555" s="30" t="str">
        <f>VLOOKUP(LEFT(B555,2),'Kode Data'!$E$3:$G$6,3,0)</f>
        <v>Kemasan</v>
      </c>
      <c r="E555" s="31" t="s">
        <v>124</v>
      </c>
      <c r="F555" s="30">
        <v>600</v>
      </c>
      <c r="G555" s="30">
        <v>0</v>
      </c>
      <c r="H555" s="30">
        <v>1850</v>
      </c>
      <c r="I555" s="30">
        <v>2450</v>
      </c>
      <c r="J555" s="30" t="s">
        <v>80</v>
      </c>
      <c r="K555" s="32" t="s">
        <v>85</v>
      </c>
    </row>
    <row r="556" spans="1:11" ht="14.5" x14ac:dyDescent="0.35">
      <c r="A556" s="33">
        <v>45870</v>
      </c>
      <c r="B556" s="30" t="s">
        <v>4</v>
      </c>
      <c r="C556" s="31" t="str">
        <f>VLOOKUP(B556,'Kode Data'!$B$3:$C$23,2,0)</f>
        <v>Gandum Hard Wheat</v>
      </c>
      <c r="D556" s="30" t="str">
        <f>VLOOKUP(LEFT(B556,2),'Kode Data'!$E$3:$G$6,3,0)</f>
        <v>Bahan Baku</v>
      </c>
      <c r="E556" s="31" t="s">
        <v>98</v>
      </c>
      <c r="F556" s="30">
        <v>550</v>
      </c>
      <c r="G556" s="30">
        <v>0</v>
      </c>
      <c r="H556" s="30">
        <v>2650</v>
      </c>
      <c r="I556" s="30">
        <v>3200</v>
      </c>
      <c r="J556" s="30" t="s">
        <v>87</v>
      </c>
      <c r="K556" s="32" t="s">
        <v>110</v>
      </c>
    </row>
    <row r="557" spans="1:11" ht="14.5" x14ac:dyDescent="0.35">
      <c r="A557" s="33">
        <v>45870</v>
      </c>
      <c r="B557" s="30" t="s">
        <v>9</v>
      </c>
      <c r="C557" s="31" t="str">
        <f>VLOOKUP(B557,'Kode Data'!$B$3:$C$23,2,0)</f>
        <v>Gandum Soft Wheat</v>
      </c>
      <c r="D557" s="30" t="str">
        <f>VLOOKUP(LEFT(B557,2),'Kode Data'!$E$3:$G$6,3,0)</f>
        <v>Bahan Baku</v>
      </c>
      <c r="E557" s="31" t="s">
        <v>89</v>
      </c>
      <c r="F557" s="30">
        <v>500</v>
      </c>
      <c r="G557" s="30">
        <v>0</v>
      </c>
      <c r="H557" s="30">
        <v>2200</v>
      </c>
      <c r="I557" s="30">
        <v>2700</v>
      </c>
      <c r="J557" s="30" t="s">
        <v>87</v>
      </c>
      <c r="K557" s="32" t="s">
        <v>88</v>
      </c>
    </row>
    <row r="558" spans="1:11" ht="14.5" x14ac:dyDescent="0.35">
      <c r="A558" s="33">
        <v>45870</v>
      </c>
      <c r="B558" s="30" t="s">
        <v>24</v>
      </c>
      <c r="C558" s="31" t="str">
        <f>VLOOKUP(B558,'Kode Data'!$B$3:$C$23,2,0)</f>
        <v>Germ Gandum</v>
      </c>
      <c r="D558" s="30" t="str">
        <f>VLOOKUP(LEFT(B558,2),'Kode Data'!$E$3:$G$6,3,0)</f>
        <v>Bahan Baku</v>
      </c>
      <c r="E558" s="31" t="s">
        <v>98</v>
      </c>
      <c r="F558" s="30">
        <v>290</v>
      </c>
      <c r="G558" s="30">
        <v>0</v>
      </c>
      <c r="H558" s="30">
        <v>1720</v>
      </c>
      <c r="I558" s="30">
        <v>2010</v>
      </c>
      <c r="J558" s="30" t="s">
        <v>87</v>
      </c>
      <c r="K558" s="32" t="s">
        <v>88</v>
      </c>
    </row>
    <row r="559" spans="1:11" ht="14.5" x14ac:dyDescent="0.35">
      <c r="A559" s="29">
        <v>45871</v>
      </c>
      <c r="B559" s="30" t="s">
        <v>42</v>
      </c>
      <c r="C559" s="31" t="str">
        <f>VLOOKUP(B559,'Kode Data'!$B$3:$C$23,2,0)</f>
        <v>Calcium Propionate</v>
      </c>
      <c r="D559" s="30" t="str">
        <f>VLOOKUP(LEFT(B559,2),'Kode Data'!$E$3:$G$6,3,0)</f>
        <v>Bahan Tambahan</v>
      </c>
      <c r="E559" s="31" t="s">
        <v>95</v>
      </c>
      <c r="F559" s="30">
        <v>60</v>
      </c>
      <c r="G559" s="30">
        <v>0</v>
      </c>
      <c r="H559" s="30">
        <v>520</v>
      </c>
      <c r="I559" s="30">
        <v>580</v>
      </c>
      <c r="J559" s="30" t="s">
        <v>87</v>
      </c>
      <c r="K559" s="32" t="s">
        <v>116</v>
      </c>
    </row>
    <row r="560" spans="1:11" ht="14.5" x14ac:dyDescent="0.35">
      <c r="A560" s="29">
        <v>45872</v>
      </c>
      <c r="B560" s="30" t="s">
        <v>30</v>
      </c>
      <c r="C560" s="31" t="str">
        <f>VLOOKUP(B560,'Kode Data'!$B$3:$C$23,2,0)</f>
        <v>Vitamin Fortifikasi</v>
      </c>
      <c r="D560" s="30" t="str">
        <f>VLOOKUP(LEFT(B560,2),'Kode Data'!$E$3:$G$6,3,0)</f>
        <v>Bahan Tambahan</v>
      </c>
      <c r="E560" s="31" t="s">
        <v>112</v>
      </c>
      <c r="F560" s="30">
        <v>130</v>
      </c>
      <c r="G560" s="30">
        <v>0</v>
      </c>
      <c r="H560" s="30">
        <v>660</v>
      </c>
      <c r="I560" s="30">
        <v>790</v>
      </c>
      <c r="J560" s="30" t="s">
        <v>87</v>
      </c>
      <c r="K560" s="32" t="s">
        <v>96</v>
      </c>
    </row>
    <row r="561" spans="1:11" ht="14.5" x14ac:dyDescent="0.35">
      <c r="A561" s="29">
        <v>45872</v>
      </c>
      <c r="B561" s="30" t="s">
        <v>60</v>
      </c>
      <c r="C561" s="31" t="str">
        <f>VLOOKUP(B561,'Kode Data'!$B$3:$C$23,2,0)</f>
        <v>Tepung Terigu Protein Tinggi</v>
      </c>
      <c r="D561" s="30" t="str">
        <f>VLOOKUP(LEFT(B561,2),'Kode Data'!$E$3:$G$6,3,0)</f>
        <v>Produk</v>
      </c>
      <c r="E561" s="31" t="s">
        <v>108</v>
      </c>
      <c r="F561" s="30">
        <v>700</v>
      </c>
      <c r="G561" s="30">
        <v>0</v>
      </c>
      <c r="H561" s="30">
        <v>1700</v>
      </c>
      <c r="I561" s="30">
        <v>2400</v>
      </c>
      <c r="J561" s="30" t="s">
        <v>80</v>
      </c>
      <c r="K561" s="32" t="s">
        <v>81</v>
      </c>
    </row>
    <row r="562" spans="1:11" ht="14.5" x14ac:dyDescent="0.35">
      <c r="A562" s="29">
        <v>45872</v>
      </c>
      <c r="B562" s="30" t="s">
        <v>62</v>
      </c>
      <c r="C562" s="31" t="str">
        <f>VLOOKUP(B562,'Kode Data'!$B$3:$C$23,2,0)</f>
        <v>Tepung Terigu Serbaguna</v>
      </c>
      <c r="D562" s="30" t="str">
        <f>VLOOKUP(LEFT(B562,2),'Kode Data'!$E$3:$G$6,3,0)</f>
        <v>Produk</v>
      </c>
      <c r="E562" s="31" t="s">
        <v>79</v>
      </c>
      <c r="F562" s="30">
        <v>900</v>
      </c>
      <c r="G562" s="30">
        <v>0</v>
      </c>
      <c r="H562" s="30">
        <v>1900</v>
      </c>
      <c r="I562" s="30">
        <v>2800</v>
      </c>
      <c r="J562" s="30" t="s">
        <v>80</v>
      </c>
      <c r="K562" s="32" t="s">
        <v>81</v>
      </c>
    </row>
    <row r="563" spans="1:11" ht="14.5" x14ac:dyDescent="0.35">
      <c r="A563" s="33">
        <v>45872</v>
      </c>
      <c r="B563" s="30" t="s">
        <v>58</v>
      </c>
      <c r="C563" s="31" t="str">
        <f>VLOOKUP(B563,'Kode Data'!$B$3:$C$23,2,0)</f>
        <v>Pallet Kayu</v>
      </c>
      <c r="D563" s="30" t="str">
        <f>VLOOKUP(LEFT(B563,2),'Kode Data'!$E$3:$G$6,3,0)</f>
        <v>Kemasan</v>
      </c>
      <c r="E563" s="31" t="s">
        <v>94</v>
      </c>
      <c r="F563" s="30">
        <v>60</v>
      </c>
      <c r="G563" s="30">
        <v>0</v>
      </c>
      <c r="H563" s="30">
        <v>250</v>
      </c>
      <c r="I563" s="30">
        <v>310</v>
      </c>
      <c r="J563" s="30" t="s">
        <v>80</v>
      </c>
      <c r="K563" s="32" t="s">
        <v>85</v>
      </c>
    </row>
    <row r="564" spans="1:11" ht="14.5" x14ac:dyDescent="0.35">
      <c r="A564" s="33">
        <v>45872</v>
      </c>
      <c r="B564" s="30" t="s">
        <v>19</v>
      </c>
      <c r="C564" s="31" t="str">
        <f>VLOOKUP(B564,'Kode Data'!$B$3:$C$23,2,0)</f>
        <v>Bran Gandum</v>
      </c>
      <c r="D564" s="30" t="str">
        <f>VLOOKUP(LEFT(B564,2),'Kode Data'!$E$3:$G$6,3,0)</f>
        <v>Bahan Baku</v>
      </c>
      <c r="E564" s="31" t="s">
        <v>98</v>
      </c>
      <c r="F564" s="30">
        <v>450</v>
      </c>
      <c r="G564" s="30">
        <v>0</v>
      </c>
      <c r="H564" s="30">
        <v>2050</v>
      </c>
      <c r="I564" s="30">
        <v>2500</v>
      </c>
      <c r="J564" s="30" t="s">
        <v>87</v>
      </c>
      <c r="K564" s="32" t="s">
        <v>88</v>
      </c>
    </row>
    <row r="565" spans="1:11" ht="14.5" x14ac:dyDescent="0.35">
      <c r="A565" s="29">
        <v>45873</v>
      </c>
      <c r="B565" s="30" t="s">
        <v>34</v>
      </c>
      <c r="C565" s="31" t="str">
        <f>VLOOKUP(B565,'Kode Data'!$B$3:$C$23,2,0)</f>
        <v>Tepung Premix</v>
      </c>
      <c r="D565" s="30" t="str">
        <f>VLOOKUP(LEFT(B565,2),'Kode Data'!$E$3:$G$6,3,0)</f>
        <v>Bahan Tambahan</v>
      </c>
      <c r="E565" s="31" t="s">
        <v>79</v>
      </c>
      <c r="F565" s="30">
        <v>180</v>
      </c>
      <c r="G565" s="30">
        <v>0</v>
      </c>
      <c r="H565" s="30">
        <v>790</v>
      </c>
      <c r="I565" s="30">
        <v>970</v>
      </c>
      <c r="J565" s="30" t="s">
        <v>87</v>
      </c>
      <c r="K565" s="32" t="s">
        <v>96</v>
      </c>
    </row>
    <row r="566" spans="1:11" ht="14.5" x14ac:dyDescent="0.35">
      <c r="A566" s="29">
        <v>45873</v>
      </c>
      <c r="B566" s="30" t="s">
        <v>38</v>
      </c>
      <c r="C566" s="31" t="str">
        <f>VLOOKUP(B566,'Kode Data'!$B$3:$C$23,2,0)</f>
        <v>Improver Tepung</v>
      </c>
      <c r="D566" s="30" t="str">
        <f>VLOOKUP(LEFT(B566,2),'Kode Data'!$E$3:$G$6,3,0)</f>
        <v>Bahan Tambahan</v>
      </c>
      <c r="E566" s="31" t="s">
        <v>107</v>
      </c>
      <c r="F566" s="30">
        <v>170</v>
      </c>
      <c r="G566" s="30">
        <v>0</v>
      </c>
      <c r="H566" s="30">
        <v>420</v>
      </c>
      <c r="I566" s="30">
        <v>590</v>
      </c>
      <c r="J566" s="30" t="s">
        <v>87</v>
      </c>
      <c r="K566" s="32" t="s">
        <v>96</v>
      </c>
    </row>
    <row r="567" spans="1:11" ht="14.5" x14ac:dyDescent="0.35">
      <c r="A567" s="33">
        <v>45873</v>
      </c>
      <c r="B567" s="30" t="s">
        <v>52</v>
      </c>
      <c r="C567" s="31" t="str">
        <f>VLOOKUP(B567,'Kode Data'!$B$3:$C$23,2,0)</f>
        <v>Plastik Kemasan 500 gr</v>
      </c>
      <c r="D567" s="30" t="str">
        <f>VLOOKUP(LEFT(B567,2),'Kode Data'!$E$3:$G$6,3,0)</f>
        <v>Kemasan</v>
      </c>
      <c r="E567" s="31" t="s">
        <v>123</v>
      </c>
      <c r="F567" s="30">
        <v>900</v>
      </c>
      <c r="G567" s="30">
        <v>0</v>
      </c>
      <c r="H567" s="30">
        <v>8000</v>
      </c>
      <c r="I567" s="30">
        <v>8900</v>
      </c>
      <c r="J567" s="30" t="s">
        <v>80</v>
      </c>
      <c r="K567" s="32" t="s">
        <v>85</v>
      </c>
    </row>
    <row r="568" spans="1:11" ht="14.5" x14ac:dyDescent="0.35">
      <c r="A568" s="29">
        <v>45874</v>
      </c>
      <c r="B568" s="30" t="s">
        <v>26</v>
      </c>
      <c r="C568" s="31" t="str">
        <f>VLOOKUP(B568,'Kode Data'!$B$3:$C$23,2,0)</f>
        <v>Enzim Baking</v>
      </c>
      <c r="D568" s="30" t="str">
        <f>VLOOKUP(LEFT(B568,2),'Kode Data'!$E$3:$G$6,3,0)</f>
        <v>Bahan Tambahan</v>
      </c>
      <c r="E568" s="31" t="s">
        <v>106</v>
      </c>
      <c r="F568" s="30">
        <v>115</v>
      </c>
      <c r="G568" s="30">
        <v>0</v>
      </c>
      <c r="H568" s="30">
        <v>290</v>
      </c>
      <c r="I568" s="30">
        <v>405</v>
      </c>
      <c r="J568" s="30" t="s">
        <v>87</v>
      </c>
      <c r="K568" s="32" t="s">
        <v>96</v>
      </c>
    </row>
    <row r="569" spans="1:11" ht="14.5" x14ac:dyDescent="0.35">
      <c r="A569" s="33">
        <v>45874</v>
      </c>
      <c r="B569" s="30" t="s">
        <v>54</v>
      </c>
      <c r="C569" s="31" t="str">
        <f>VLOOKUP(B569,'Kode Data'!$B$3:$C$23,2,0)</f>
        <v>Karton Box</v>
      </c>
      <c r="D569" s="30" t="str">
        <f>VLOOKUP(LEFT(B569,2),'Kode Data'!$E$3:$G$6,3,0)</f>
        <v>Kemasan</v>
      </c>
      <c r="E569" s="31" t="s">
        <v>109</v>
      </c>
      <c r="F569" s="30">
        <v>1200</v>
      </c>
      <c r="G569" s="30">
        <v>0</v>
      </c>
      <c r="H569" s="30">
        <v>10150</v>
      </c>
      <c r="I569" s="30">
        <v>11350</v>
      </c>
      <c r="J569" s="30" t="s">
        <v>80</v>
      </c>
      <c r="K569" s="32" t="s">
        <v>85</v>
      </c>
    </row>
    <row r="570" spans="1:11" ht="14.5" x14ac:dyDescent="0.35">
      <c r="A570" s="33">
        <v>45874</v>
      </c>
      <c r="B570" s="30" t="s">
        <v>14</v>
      </c>
      <c r="C570" s="31" t="str">
        <f>VLOOKUP(B570,'Kode Data'!$B$3:$C$23,2,0)</f>
        <v>Gandum Durum</v>
      </c>
      <c r="D570" s="30" t="str">
        <f>VLOOKUP(LEFT(B570,2),'Kode Data'!$E$3:$G$6,3,0)</f>
        <v>Bahan Baku</v>
      </c>
      <c r="E570" s="31" t="s">
        <v>79</v>
      </c>
      <c r="F570" s="30">
        <v>0</v>
      </c>
      <c r="G570" s="30">
        <v>310</v>
      </c>
      <c r="H570" s="30">
        <v>1780</v>
      </c>
      <c r="I570" s="30">
        <v>1470</v>
      </c>
      <c r="J570" s="30" t="s">
        <v>87</v>
      </c>
      <c r="K570" s="32" t="s">
        <v>104</v>
      </c>
    </row>
    <row r="571" spans="1:11" ht="14.5" x14ac:dyDescent="0.35">
      <c r="A571" s="29">
        <v>45876</v>
      </c>
      <c r="B571" s="30" t="s">
        <v>64</v>
      </c>
      <c r="C571" s="31" t="str">
        <f>VLOOKUP(B571,'Kode Data'!$B$3:$C$23,2,0)</f>
        <v>Tepung Terigu Protein Rendah</v>
      </c>
      <c r="D571" s="30" t="str">
        <f>VLOOKUP(LEFT(B571,2),'Kode Data'!$E$3:$G$6,3,0)</f>
        <v>Produk</v>
      </c>
      <c r="E571" s="31" t="s">
        <v>89</v>
      </c>
      <c r="F571" s="30">
        <v>650</v>
      </c>
      <c r="G571" s="30">
        <v>0</v>
      </c>
      <c r="H571" s="30">
        <v>2750</v>
      </c>
      <c r="I571" s="30">
        <v>3400</v>
      </c>
      <c r="J571" s="30" t="s">
        <v>80</v>
      </c>
      <c r="K571" s="32" t="s">
        <v>81</v>
      </c>
    </row>
    <row r="572" spans="1:11" ht="14.5" x14ac:dyDescent="0.35">
      <c r="A572" s="33">
        <v>45876</v>
      </c>
      <c r="B572" s="30" t="s">
        <v>9</v>
      </c>
      <c r="C572" s="31" t="str">
        <f>VLOOKUP(B572,'Kode Data'!$B$3:$C$23,2,0)</f>
        <v>Gandum Soft Wheat</v>
      </c>
      <c r="D572" s="30" t="str">
        <f>VLOOKUP(LEFT(B572,2),'Kode Data'!$E$3:$G$6,3,0)</f>
        <v>Bahan Baku</v>
      </c>
      <c r="E572" s="31" t="s">
        <v>98</v>
      </c>
      <c r="F572" s="30">
        <v>0</v>
      </c>
      <c r="G572" s="30">
        <v>400</v>
      </c>
      <c r="H572" s="30">
        <v>2700</v>
      </c>
      <c r="I572" s="30">
        <v>2300</v>
      </c>
      <c r="J572" s="30" t="s">
        <v>87</v>
      </c>
      <c r="K572" s="32" t="s">
        <v>104</v>
      </c>
    </row>
    <row r="573" spans="1:11" ht="14.5" x14ac:dyDescent="0.35">
      <c r="A573" s="29">
        <v>45877</v>
      </c>
      <c r="B573" s="30" t="s">
        <v>68</v>
      </c>
      <c r="C573" s="31" t="str">
        <f>VLOOKUP(B573,'Kode Data'!$B$3:$C$23,2,0)</f>
        <v>Tepung Terigu Khusus Kue</v>
      </c>
      <c r="D573" s="30" t="str">
        <f>VLOOKUP(LEFT(B573,2),'Kode Data'!$E$3:$G$6,3,0)</f>
        <v>Produk</v>
      </c>
      <c r="E573" s="31" t="s">
        <v>83</v>
      </c>
      <c r="F573" s="30">
        <v>600</v>
      </c>
      <c r="G573" s="30">
        <v>0</v>
      </c>
      <c r="H573" s="30">
        <v>2550</v>
      </c>
      <c r="I573" s="30">
        <v>3150</v>
      </c>
      <c r="J573" s="30" t="s">
        <v>80</v>
      </c>
      <c r="K573" s="32" t="s">
        <v>81</v>
      </c>
    </row>
    <row r="574" spans="1:11" ht="14.5" x14ac:dyDescent="0.35">
      <c r="A574" s="33">
        <v>45877</v>
      </c>
      <c r="B574" s="30" t="s">
        <v>4</v>
      </c>
      <c r="C574" s="31" t="str">
        <f>VLOOKUP(B574,'Kode Data'!$B$3:$C$23,2,0)</f>
        <v>Gandum Hard Wheat</v>
      </c>
      <c r="D574" s="30" t="str">
        <f>VLOOKUP(LEFT(B574,2),'Kode Data'!$E$3:$G$6,3,0)</f>
        <v>Bahan Baku</v>
      </c>
      <c r="E574" s="31" t="s">
        <v>89</v>
      </c>
      <c r="F574" s="30">
        <v>0</v>
      </c>
      <c r="G574" s="30">
        <v>450</v>
      </c>
      <c r="H574" s="30">
        <v>3200</v>
      </c>
      <c r="I574" s="30">
        <v>2750</v>
      </c>
      <c r="J574" s="30" t="s">
        <v>87</v>
      </c>
      <c r="K574" s="32" t="s">
        <v>104</v>
      </c>
    </row>
    <row r="575" spans="1:11" ht="14.5" x14ac:dyDescent="0.35">
      <c r="A575" s="33">
        <v>45877</v>
      </c>
      <c r="B575" s="30" t="s">
        <v>24</v>
      </c>
      <c r="C575" s="31" t="str">
        <f>VLOOKUP(B575,'Kode Data'!$B$3:$C$23,2,0)</f>
        <v>Germ Gandum</v>
      </c>
      <c r="D575" s="30" t="str">
        <f>VLOOKUP(LEFT(B575,2),'Kode Data'!$E$3:$G$6,3,0)</f>
        <v>Bahan Baku</v>
      </c>
      <c r="E575" s="31" t="s">
        <v>98</v>
      </c>
      <c r="F575" s="30">
        <v>0</v>
      </c>
      <c r="G575" s="30">
        <v>210</v>
      </c>
      <c r="H575" s="30">
        <v>2010</v>
      </c>
      <c r="I575" s="30">
        <v>1800</v>
      </c>
      <c r="J575" s="30" t="s">
        <v>87</v>
      </c>
      <c r="K575" s="32" t="s">
        <v>104</v>
      </c>
    </row>
    <row r="576" spans="1:11" ht="14.5" x14ac:dyDescent="0.35">
      <c r="A576" s="29">
        <v>45878</v>
      </c>
      <c r="B576" s="30" t="s">
        <v>64</v>
      </c>
      <c r="C576" s="31" t="str">
        <f>VLOOKUP(B576,'Kode Data'!$B$3:$C$23,2,0)</f>
        <v>Tepung Terigu Protein Rendah</v>
      </c>
      <c r="D576" s="30" t="str">
        <f>VLOOKUP(LEFT(B576,2),'Kode Data'!$E$3:$G$6,3,0)</f>
        <v>Produk</v>
      </c>
      <c r="E576" s="31" t="s">
        <v>82</v>
      </c>
      <c r="F576" s="30">
        <v>0</v>
      </c>
      <c r="G576" s="30">
        <v>600</v>
      </c>
      <c r="H576" s="30">
        <v>3400</v>
      </c>
      <c r="I576" s="30">
        <v>2800</v>
      </c>
      <c r="J576" s="30" t="s">
        <v>80</v>
      </c>
      <c r="K576" s="32" t="s">
        <v>90</v>
      </c>
    </row>
    <row r="577" spans="1:11" ht="14.5" x14ac:dyDescent="0.35">
      <c r="A577" s="33">
        <v>45878</v>
      </c>
      <c r="B577" s="30" t="s">
        <v>56</v>
      </c>
      <c r="C577" s="31" t="str">
        <f>VLOOKUP(B577,'Kode Data'!$B$3:$C$23,2,0)</f>
        <v>Label Produk</v>
      </c>
      <c r="D577" s="30" t="str">
        <f>VLOOKUP(LEFT(B577,2),'Kode Data'!$E$3:$G$6,3,0)</f>
        <v>Kemasan</v>
      </c>
      <c r="E577" s="31" t="s">
        <v>124</v>
      </c>
      <c r="F577" s="30">
        <v>0</v>
      </c>
      <c r="G577" s="30">
        <v>450</v>
      </c>
      <c r="H577" s="30">
        <v>2450</v>
      </c>
      <c r="I577" s="30">
        <v>2000</v>
      </c>
      <c r="J577" s="30" t="s">
        <v>80</v>
      </c>
      <c r="K577" s="32" t="s">
        <v>93</v>
      </c>
    </row>
    <row r="578" spans="1:11" ht="14.5" x14ac:dyDescent="0.35">
      <c r="A578" s="29">
        <v>45879</v>
      </c>
      <c r="B578" s="30" t="s">
        <v>68</v>
      </c>
      <c r="C578" s="31" t="str">
        <f>VLOOKUP(B578,'Kode Data'!$B$3:$C$23,2,0)</f>
        <v>Tepung Terigu Khusus Kue</v>
      </c>
      <c r="D578" s="30" t="str">
        <f>VLOOKUP(LEFT(B578,2),'Kode Data'!$E$3:$G$6,3,0)</f>
        <v>Produk</v>
      </c>
      <c r="E578" s="31" t="s">
        <v>91</v>
      </c>
      <c r="F578" s="30">
        <v>0</v>
      </c>
      <c r="G578" s="30">
        <v>500</v>
      </c>
      <c r="H578" s="30">
        <v>3150</v>
      </c>
      <c r="I578" s="30">
        <v>2650</v>
      </c>
      <c r="J578" s="30" t="s">
        <v>80</v>
      </c>
      <c r="K578" s="32" t="s">
        <v>90</v>
      </c>
    </row>
    <row r="579" spans="1:11" ht="14.5" x14ac:dyDescent="0.35">
      <c r="A579" s="33">
        <v>45879</v>
      </c>
      <c r="B579" s="30" t="s">
        <v>58</v>
      </c>
      <c r="C579" s="31" t="str">
        <f>VLOOKUP(B579,'Kode Data'!$B$3:$C$23,2,0)</f>
        <v>Pallet Kayu</v>
      </c>
      <c r="D579" s="30" t="str">
        <f>VLOOKUP(LEFT(B579,2),'Kode Data'!$E$3:$G$6,3,0)</f>
        <v>Kemasan</v>
      </c>
      <c r="E579" s="31" t="s">
        <v>122</v>
      </c>
      <c r="F579" s="30">
        <v>0</v>
      </c>
      <c r="G579" s="30">
        <v>50</v>
      </c>
      <c r="H579" s="30">
        <v>310</v>
      </c>
      <c r="I579" s="30">
        <v>260</v>
      </c>
      <c r="J579" s="30" t="s">
        <v>80</v>
      </c>
      <c r="K579" s="32" t="s">
        <v>93</v>
      </c>
    </row>
    <row r="580" spans="1:11" ht="14.5" x14ac:dyDescent="0.35">
      <c r="A580" s="33">
        <v>45879</v>
      </c>
      <c r="B580" s="30" t="s">
        <v>19</v>
      </c>
      <c r="C580" s="31" t="str">
        <f>VLOOKUP(B580,'Kode Data'!$B$3:$C$23,2,0)</f>
        <v>Bran Gandum</v>
      </c>
      <c r="D580" s="30" t="str">
        <f>VLOOKUP(LEFT(B580,2),'Kode Data'!$E$3:$G$6,3,0)</f>
        <v>Bahan Baku</v>
      </c>
      <c r="E580" s="31" t="s">
        <v>118</v>
      </c>
      <c r="F580" s="30">
        <v>0</v>
      </c>
      <c r="G580" s="30">
        <v>350</v>
      </c>
      <c r="H580" s="30">
        <v>2500</v>
      </c>
      <c r="I580" s="30">
        <v>2150</v>
      </c>
      <c r="J580" s="30" t="s">
        <v>87</v>
      </c>
      <c r="K580" s="32" t="s">
        <v>104</v>
      </c>
    </row>
    <row r="581" spans="1:11" ht="14.5" x14ac:dyDescent="0.35">
      <c r="A581" s="29">
        <v>45880</v>
      </c>
      <c r="B581" s="30" t="s">
        <v>30</v>
      </c>
      <c r="C581" s="31" t="str">
        <f>VLOOKUP(B581,'Kode Data'!$B$3:$C$23,2,0)</f>
        <v>Vitamin Fortifikasi</v>
      </c>
      <c r="D581" s="30" t="str">
        <f>VLOOKUP(LEFT(B581,2),'Kode Data'!$E$3:$G$6,3,0)</f>
        <v>Bahan Tambahan</v>
      </c>
      <c r="E581" s="31" t="s">
        <v>119</v>
      </c>
      <c r="F581" s="30">
        <v>0</v>
      </c>
      <c r="G581" s="30">
        <v>95</v>
      </c>
      <c r="H581" s="30">
        <v>790</v>
      </c>
      <c r="I581" s="30">
        <v>695</v>
      </c>
      <c r="J581" s="30" t="s">
        <v>87</v>
      </c>
      <c r="K581" s="32" t="s">
        <v>104</v>
      </c>
    </row>
    <row r="582" spans="1:11" ht="14.5" x14ac:dyDescent="0.35">
      <c r="A582" s="29">
        <v>45880</v>
      </c>
      <c r="B582" s="30" t="s">
        <v>42</v>
      </c>
      <c r="C582" s="31" t="str">
        <f>VLOOKUP(B582,'Kode Data'!$B$3:$C$23,2,0)</f>
        <v>Calcium Propionate</v>
      </c>
      <c r="D582" s="30" t="str">
        <f>VLOOKUP(LEFT(B582,2),'Kode Data'!$E$3:$G$6,3,0)</f>
        <v>Bahan Tambahan</v>
      </c>
      <c r="E582" s="31" t="s">
        <v>111</v>
      </c>
      <c r="F582" s="30">
        <v>0</v>
      </c>
      <c r="G582" s="30">
        <v>30</v>
      </c>
      <c r="H582" s="30">
        <v>580</v>
      </c>
      <c r="I582" s="30">
        <v>550</v>
      </c>
      <c r="J582" s="30" t="s">
        <v>87</v>
      </c>
      <c r="K582" s="32" t="s">
        <v>104</v>
      </c>
    </row>
    <row r="583" spans="1:11" ht="14.5" x14ac:dyDescent="0.35">
      <c r="A583" s="29">
        <v>45880</v>
      </c>
      <c r="B583" s="30" t="s">
        <v>60</v>
      </c>
      <c r="C583" s="31" t="str">
        <f>VLOOKUP(B583,'Kode Data'!$B$3:$C$23,2,0)</f>
        <v>Tepung Terigu Protein Tinggi</v>
      </c>
      <c r="D583" s="30" t="str">
        <f>VLOOKUP(LEFT(B583,2),'Kode Data'!$E$3:$G$6,3,0)</f>
        <v>Produk</v>
      </c>
      <c r="E583" s="31" t="s">
        <v>113</v>
      </c>
      <c r="F583" s="30">
        <v>0</v>
      </c>
      <c r="G583" s="30">
        <v>600</v>
      </c>
      <c r="H583" s="30">
        <v>2400</v>
      </c>
      <c r="I583" s="30">
        <v>1800</v>
      </c>
      <c r="J583" s="30" t="s">
        <v>80</v>
      </c>
      <c r="K583" s="32" t="s">
        <v>90</v>
      </c>
    </row>
    <row r="584" spans="1:11" ht="14.5" x14ac:dyDescent="0.35">
      <c r="A584" s="29">
        <v>45881</v>
      </c>
      <c r="B584" s="30" t="s">
        <v>34</v>
      </c>
      <c r="C584" s="31" t="str">
        <f>VLOOKUP(B584,'Kode Data'!$B$3:$C$23,2,0)</f>
        <v>Tepung Premix</v>
      </c>
      <c r="D584" s="30" t="str">
        <f>VLOOKUP(LEFT(B584,2),'Kode Data'!$E$3:$G$6,3,0)</f>
        <v>Bahan Tambahan</v>
      </c>
      <c r="E584" s="31" t="s">
        <v>89</v>
      </c>
      <c r="F584" s="30">
        <v>0</v>
      </c>
      <c r="G584" s="30">
        <v>200</v>
      </c>
      <c r="H584" s="30">
        <v>970</v>
      </c>
      <c r="I584" s="30">
        <v>770</v>
      </c>
      <c r="J584" s="30" t="s">
        <v>87</v>
      </c>
      <c r="K584" s="32" t="s">
        <v>104</v>
      </c>
    </row>
    <row r="585" spans="1:11" ht="14.5" x14ac:dyDescent="0.35">
      <c r="A585" s="29">
        <v>45881</v>
      </c>
      <c r="B585" s="30" t="s">
        <v>38</v>
      </c>
      <c r="C585" s="31" t="str">
        <f>VLOOKUP(B585,'Kode Data'!$B$3:$C$23,2,0)</f>
        <v>Improver Tepung</v>
      </c>
      <c r="D585" s="30" t="str">
        <f>VLOOKUP(LEFT(B585,2),'Kode Data'!$E$3:$G$6,3,0)</f>
        <v>Bahan Tambahan</v>
      </c>
      <c r="E585" s="31" t="s">
        <v>117</v>
      </c>
      <c r="F585" s="30">
        <v>0</v>
      </c>
      <c r="G585" s="30">
        <v>150</v>
      </c>
      <c r="H585" s="30">
        <v>590</v>
      </c>
      <c r="I585" s="30">
        <v>440</v>
      </c>
      <c r="J585" s="30" t="s">
        <v>87</v>
      </c>
      <c r="K585" s="32" t="s">
        <v>104</v>
      </c>
    </row>
    <row r="586" spans="1:11" ht="14.5" x14ac:dyDescent="0.35">
      <c r="A586" s="29">
        <v>45881</v>
      </c>
      <c r="B586" s="30" t="s">
        <v>62</v>
      </c>
      <c r="C586" s="31" t="str">
        <f>VLOOKUP(B586,'Kode Data'!$B$3:$C$23,2,0)</f>
        <v>Tepung Terigu Serbaguna</v>
      </c>
      <c r="D586" s="30" t="str">
        <f>VLOOKUP(LEFT(B586,2),'Kode Data'!$E$3:$G$6,3,0)</f>
        <v>Produk</v>
      </c>
      <c r="E586" s="31" t="s">
        <v>89</v>
      </c>
      <c r="F586" s="30">
        <v>0</v>
      </c>
      <c r="G586" s="30">
        <v>700</v>
      </c>
      <c r="H586" s="30">
        <v>2800</v>
      </c>
      <c r="I586" s="30">
        <v>2100</v>
      </c>
      <c r="J586" s="30" t="s">
        <v>80</v>
      </c>
      <c r="K586" s="32" t="s">
        <v>90</v>
      </c>
    </row>
    <row r="587" spans="1:11" ht="14.5" x14ac:dyDescent="0.35">
      <c r="A587" s="29">
        <v>45881</v>
      </c>
      <c r="B587" s="30" t="s">
        <v>68</v>
      </c>
      <c r="C587" s="31" t="str">
        <f>VLOOKUP(B587,'Kode Data'!$B$3:$C$23,2,0)</f>
        <v>Tepung Terigu Khusus Kue</v>
      </c>
      <c r="D587" s="30" t="str">
        <f>VLOOKUP(LEFT(B587,2),'Kode Data'!$E$3:$G$6,3,0)</f>
        <v>Produk</v>
      </c>
      <c r="E587" s="31" t="s">
        <v>89</v>
      </c>
      <c r="F587" s="30">
        <v>550</v>
      </c>
      <c r="G587" s="30">
        <v>0</v>
      </c>
      <c r="H587" s="30">
        <v>2650</v>
      </c>
      <c r="I587" s="30">
        <v>3200</v>
      </c>
      <c r="J587" s="30" t="s">
        <v>80</v>
      </c>
      <c r="K587" s="32" t="s">
        <v>81</v>
      </c>
    </row>
    <row r="588" spans="1:11" ht="14.5" x14ac:dyDescent="0.35">
      <c r="A588" s="33">
        <v>45881</v>
      </c>
      <c r="B588" s="30" t="s">
        <v>54</v>
      </c>
      <c r="C588" s="31" t="str">
        <f>VLOOKUP(B588,'Kode Data'!$B$3:$C$23,2,0)</f>
        <v>Karton Box</v>
      </c>
      <c r="D588" s="30" t="str">
        <f>VLOOKUP(LEFT(B588,2),'Kode Data'!$E$3:$G$6,3,0)</f>
        <v>Kemasan</v>
      </c>
      <c r="E588" s="31" t="s">
        <v>114</v>
      </c>
      <c r="F588" s="30">
        <v>0</v>
      </c>
      <c r="G588" s="30">
        <v>500</v>
      </c>
      <c r="H588" s="30">
        <v>11350</v>
      </c>
      <c r="I588" s="30">
        <v>10850</v>
      </c>
      <c r="J588" s="30" t="s">
        <v>80</v>
      </c>
      <c r="K588" s="32" t="s">
        <v>93</v>
      </c>
    </row>
    <row r="589" spans="1:11" ht="14.5" x14ac:dyDescent="0.35">
      <c r="A589" s="33">
        <v>45881</v>
      </c>
      <c r="B589" s="30" t="s">
        <v>4</v>
      </c>
      <c r="C589" s="31" t="str">
        <f>VLOOKUP(B589,'Kode Data'!$B$3:$C$23,2,0)</f>
        <v>Gandum Hard Wheat</v>
      </c>
      <c r="D589" s="30" t="str">
        <f>VLOOKUP(LEFT(B589,2),'Kode Data'!$E$3:$G$6,3,0)</f>
        <v>Bahan Baku</v>
      </c>
      <c r="E589" s="31" t="s">
        <v>79</v>
      </c>
      <c r="F589" s="30">
        <v>500</v>
      </c>
      <c r="G589" s="30">
        <v>0</v>
      </c>
      <c r="H589" s="30">
        <v>2750</v>
      </c>
      <c r="I589" s="30">
        <v>3250</v>
      </c>
      <c r="J589" s="30" t="s">
        <v>87</v>
      </c>
      <c r="K589" s="32" t="s">
        <v>88</v>
      </c>
    </row>
    <row r="590" spans="1:11" ht="14.5" x14ac:dyDescent="0.35">
      <c r="A590" s="29">
        <v>45882</v>
      </c>
      <c r="B590" s="30" t="s">
        <v>26</v>
      </c>
      <c r="C590" s="31" t="str">
        <f>VLOOKUP(B590,'Kode Data'!$B$3:$C$23,2,0)</f>
        <v>Enzim Baking</v>
      </c>
      <c r="D590" s="30" t="str">
        <f>VLOOKUP(LEFT(B590,2),'Kode Data'!$E$3:$G$6,3,0)</f>
        <v>Bahan Tambahan</v>
      </c>
      <c r="E590" s="31" t="s">
        <v>115</v>
      </c>
      <c r="F590" s="30">
        <v>0</v>
      </c>
      <c r="G590" s="30">
        <v>120</v>
      </c>
      <c r="H590" s="30">
        <v>405</v>
      </c>
      <c r="I590" s="30">
        <v>285</v>
      </c>
      <c r="J590" s="30" t="s">
        <v>87</v>
      </c>
      <c r="K590" s="32" t="s">
        <v>104</v>
      </c>
    </row>
    <row r="591" spans="1:11" ht="14.5" x14ac:dyDescent="0.35">
      <c r="A591" s="33">
        <v>45882</v>
      </c>
      <c r="B591" s="30" t="s">
        <v>14</v>
      </c>
      <c r="C591" s="31" t="str">
        <f>VLOOKUP(B591,'Kode Data'!$B$3:$C$23,2,0)</f>
        <v>Gandum Durum</v>
      </c>
      <c r="D591" s="30" t="str">
        <f>VLOOKUP(LEFT(B591,2),'Kode Data'!$E$3:$G$6,3,0)</f>
        <v>Bahan Baku</v>
      </c>
      <c r="E591" s="31" t="s">
        <v>98</v>
      </c>
      <c r="F591" s="30">
        <v>280</v>
      </c>
      <c r="G591" s="30">
        <v>0</v>
      </c>
      <c r="H591" s="30">
        <v>1470</v>
      </c>
      <c r="I591" s="30">
        <v>1750</v>
      </c>
      <c r="J591" s="30" t="s">
        <v>87</v>
      </c>
      <c r="K591" s="32" t="s">
        <v>110</v>
      </c>
    </row>
    <row r="592" spans="1:11" ht="14.5" x14ac:dyDescent="0.35">
      <c r="A592" s="29">
        <v>45883</v>
      </c>
      <c r="B592" s="30" t="s">
        <v>50</v>
      </c>
      <c r="C592" s="31" t="str">
        <f>VLOOKUP(B592,'Kode Data'!$B$3:$C$23,2,0)</f>
        <v>Plastik Kemasan 1 Kg</v>
      </c>
      <c r="D592" s="30" t="str">
        <f>VLOOKUP(LEFT(B592,2),'Kode Data'!$E$3:$G$6,3,0)</f>
        <v>Kemasan</v>
      </c>
      <c r="E592" s="31" t="s">
        <v>86</v>
      </c>
      <c r="F592" s="30">
        <v>0</v>
      </c>
      <c r="G592" s="30">
        <v>500</v>
      </c>
      <c r="H592" s="30">
        <v>10800</v>
      </c>
      <c r="I592" s="30">
        <v>10300</v>
      </c>
      <c r="J592" s="30" t="s">
        <v>80</v>
      </c>
      <c r="K592" s="32" t="s">
        <v>93</v>
      </c>
    </row>
    <row r="593" spans="1:11" ht="14.5" x14ac:dyDescent="0.35">
      <c r="A593" s="33">
        <v>45883</v>
      </c>
      <c r="B593" s="30" t="s">
        <v>9</v>
      </c>
      <c r="C593" s="31" t="str">
        <f>VLOOKUP(B593,'Kode Data'!$B$3:$C$23,2,0)</f>
        <v>Gandum Soft Wheat</v>
      </c>
      <c r="D593" s="30" t="str">
        <f>VLOOKUP(LEFT(B593,2),'Kode Data'!$E$3:$G$6,3,0)</f>
        <v>Bahan Baku</v>
      </c>
      <c r="E593" s="31" t="s">
        <v>79</v>
      </c>
      <c r="F593" s="30">
        <v>350</v>
      </c>
      <c r="G593" s="30">
        <v>0</v>
      </c>
      <c r="H593" s="30">
        <v>2300</v>
      </c>
      <c r="I593" s="30">
        <v>2650</v>
      </c>
      <c r="J593" s="30" t="s">
        <v>87</v>
      </c>
      <c r="K593" s="32" t="s">
        <v>110</v>
      </c>
    </row>
    <row r="594" spans="1:11" ht="14.5" x14ac:dyDescent="0.35">
      <c r="A594" s="29">
        <v>45884</v>
      </c>
      <c r="B594" s="30" t="s">
        <v>50</v>
      </c>
      <c r="C594" s="31" t="str">
        <f>VLOOKUP(B594,'Kode Data'!$B$3:$C$23,2,0)</f>
        <v>Plastik Kemasan 1 Kg</v>
      </c>
      <c r="D594" s="30" t="str">
        <f>VLOOKUP(LEFT(B594,2),'Kode Data'!$E$3:$G$6,3,0)</f>
        <v>Kemasan</v>
      </c>
      <c r="E594" s="31" t="s">
        <v>92</v>
      </c>
      <c r="F594" s="30">
        <v>900</v>
      </c>
      <c r="G594" s="30">
        <v>0</v>
      </c>
      <c r="H594" s="30">
        <v>10300</v>
      </c>
      <c r="I594" s="30">
        <v>11200</v>
      </c>
      <c r="J594" s="30" t="s">
        <v>80</v>
      </c>
      <c r="K594" s="32" t="s">
        <v>85</v>
      </c>
    </row>
    <row r="595" spans="1:11" ht="14.5" x14ac:dyDescent="0.35">
      <c r="A595" s="33">
        <v>45884</v>
      </c>
      <c r="B595" s="30" t="s">
        <v>56</v>
      </c>
      <c r="C595" s="31" t="str">
        <f>VLOOKUP(B595,'Kode Data'!$B$3:$C$23,2,0)</f>
        <v>Label Produk</v>
      </c>
      <c r="D595" s="30" t="str">
        <f>VLOOKUP(LEFT(B595,2),'Kode Data'!$E$3:$G$6,3,0)</f>
        <v>Kemasan</v>
      </c>
      <c r="E595" s="31" t="s">
        <v>120</v>
      </c>
      <c r="F595" s="30">
        <v>400</v>
      </c>
      <c r="G595" s="30">
        <v>0</v>
      </c>
      <c r="H595" s="30">
        <v>2000</v>
      </c>
      <c r="I595" s="30">
        <v>2400</v>
      </c>
      <c r="J595" s="30" t="s">
        <v>80</v>
      </c>
      <c r="K595" s="32" t="s">
        <v>85</v>
      </c>
    </row>
    <row r="596" spans="1:11" ht="14.5" x14ac:dyDescent="0.35">
      <c r="A596" s="33">
        <v>45884</v>
      </c>
      <c r="B596" s="30" t="s">
        <v>24</v>
      </c>
      <c r="C596" s="31" t="str">
        <f>VLOOKUP(B596,'Kode Data'!$B$3:$C$23,2,0)</f>
        <v>Germ Gandum</v>
      </c>
      <c r="D596" s="30" t="str">
        <f>VLOOKUP(LEFT(B596,2),'Kode Data'!$E$3:$G$6,3,0)</f>
        <v>Bahan Baku</v>
      </c>
      <c r="E596" s="31" t="s">
        <v>79</v>
      </c>
      <c r="F596" s="30">
        <v>250</v>
      </c>
      <c r="G596" s="30">
        <v>0</v>
      </c>
      <c r="H596" s="30">
        <v>1800</v>
      </c>
      <c r="I596" s="30">
        <v>2050</v>
      </c>
      <c r="J596" s="30" t="s">
        <v>87</v>
      </c>
      <c r="K596" s="32" t="s">
        <v>110</v>
      </c>
    </row>
    <row r="597" spans="1:11" ht="14.5" x14ac:dyDescent="0.35">
      <c r="A597" s="29">
        <v>45886</v>
      </c>
      <c r="B597" s="30" t="s">
        <v>46</v>
      </c>
      <c r="C597" s="31" t="str">
        <f>VLOOKUP(B597,'Kode Data'!$B$3:$C$23,2,0)</f>
        <v>Karung Kemasan 25 Kg</v>
      </c>
      <c r="D597" s="30" t="str">
        <f>VLOOKUP(LEFT(B597,2),'Kode Data'!$E$3:$G$6,3,0)</f>
        <v>Kemasan</v>
      </c>
      <c r="E597" s="31" t="s">
        <v>84</v>
      </c>
      <c r="F597" s="30">
        <v>0</v>
      </c>
      <c r="G597" s="30">
        <v>250</v>
      </c>
      <c r="H597" s="30">
        <v>3450</v>
      </c>
      <c r="I597" s="30">
        <v>3200</v>
      </c>
      <c r="J597" s="30" t="s">
        <v>80</v>
      </c>
      <c r="K597" s="32" t="s">
        <v>93</v>
      </c>
    </row>
    <row r="598" spans="1:11" ht="14.5" x14ac:dyDescent="0.35">
      <c r="A598" s="33">
        <v>45886</v>
      </c>
      <c r="B598" s="30" t="s">
        <v>58</v>
      </c>
      <c r="C598" s="31" t="str">
        <f>VLOOKUP(B598,'Kode Data'!$B$3:$C$23,2,0)</f>
        <v>Pallet Kayu</v>
      </c>
      <c r="D598" s="30" t="str">
        <f>VLOOKUP(LEFT(B598,2),'Kode Data'!$E$3:$G$6,3,0)</f>
        <v>Kemasan</v>
      </c>
      <c r="E598" s="31" t="s">
        <v>105</v>
      </c>
      <c r="F598" s="30">
        <v>40</v>
      </c>
      <c r="G598" s="30">
        <v>0</v>
      </c>
      <c r="H598" s="30">
        <v>260</v>
      </c>
      <c r="I598" s="30">
        <v>300</v>
      </c>
      <c r="J598" s="30" t="s">
        <v>80</v>
      </c>
      <c r="K598" s="32" t="s">
        <v>85</v>
      </c>
    </row>
    <row r="599" spans="1:11" ht="14.5" x14ac:dyDescent="0.35">
      <c r="A599" s="29">
        <v>45887</v>
      </c>
      <c r="B599" s="30" t="s">
        <v>60</v>
      </c>
      <c r="C599" s="31" t="str">
        <f>VLOOKUP(B599,'Kode Data'!$B$3:$C$23,2,0)</f>
        <v>Tepung Terigu Protein Tinggi</v>
      </c>
      <c r="D599" s="30" t="str">
        <f>VLOOKUP(LEFT(B599,2),'Kode Data'!$E$3:$G$6,3,0)</f>
        <v>Produk</v>
      </c>
      <c r="E599" s="31" t="s">
        <v>102</v>
      </c>
      <c r="F599" s="30">
        <v>500</v>
      </c>
      <c r="G599" s="30">
        <v>0</v>
      </c>
      <c r="H599" s="30">
        <v>1800</v>
      </c>
      <c r="I599" s="30">
        <v>2300</v>
      </c>
      <c r="J599" s="30" t="s">
        <v>80</v>
      </c>
      <c r="K599" s="32" t="s">
        <v>81</v>
      </c>
    </row>
    <row r="600" spans="1:11" ht="14.5" x14ac:dyDescent="0.35">
      <c r="A600" s="29">
        <v>45887</v>
      </c>
      <c r="B600" s="30" t="s">
        <v>50</v>
      </c>
      <c r="C600" s="31" t="str">
        <f>VLOOKUP(B600,'Kode Data'!$B$3:$C$23,2,0)</f>
        <v>Plastik Kemasan 1 Kg</v>
      </c>
      <c r="D600" s="30" t="str">
        <f>VLOOKUP(LEFT(B600,2),'Kode Data'!$E$3:$G$6,3,0)</f>
        <v>Kemasan</v>
      </c>
      <c r="E600" s="31" t="s">
        <v>99</v>
      </c>
      <c r="F600" s="30">
        <v>0</v>
      </c>
      <c r="G600" s="30">
        <v>400</v>
      </c>
      <c r="H600" s="30">
        <v>11200</v>
      </c>
      <c r="I600" s="30">
        <v>10800</v>
      </c>
      <c r="J600" s="30" t="s">
        <v>80</v>
      </c>
      <c r="K600" s="32" t="s">
        <v>93</v>
      </c>
    </row>
    <row r="601" spans="1:11" ht="14.5" x14ac:dyDescent="0.35">
      <c r="A601" s="33">
        <v>45887</v>
      </c>
      <c r="B601" s="30" t="s">
        <v>4</v>
      </c>
      <c r="C601" s="31" t="str">
        <f>VLOOKUP(B601,'Kode Data'!$B$3:$C$23,2,0)</f>
        <v>Gandum Hard Wheat</v>
      </c>
      <c r="D601" s="30" t="str">
        <f>VLOOKUP(LEFT(B601,2),'Kode Data'!$E$3:$G$6,3,0)</f>
        <v>Bahan Baku</v>
      </c>
      <c r="E601" s="31" t="s">
        <v>98</v>
      </c>
      <c r="F601" s="30">
        <v>0</v>
      </c>
      <c r="G601" s="30">
        <v>400</v>
      </c>
      <c r="H601" s="30">
        <v>3250</v>
      </c>
      <c r="I601" s="30">
        <v>2850</v>
      </c>
      <c r="J601" s="30" t="s">
        <v>87</v>
      </c>
      <c r="K601" s="32" t="s">
        <v>104</v>
      </c>
    </row>
    <row r="602" spans="1:11" ht="14.5" x14ac:dyDescent="0.35">
      <c r="A602" s="29">
        <v>45888</v>
      </c>
      <c r="B602" s="30" t="s">
        <v>30</v>
      </c>
      <c r="C602" s="31" t="str">
        <f>VLOOKUP(B602,'Kode Data'!$B$3:$C$23,2,0)</f>
        <v>Vitamin Fortifikasi</v>
      </c>
      <c r="D602" s="30" t="str">
        <f>VLOOKUP(LEFT(B602,2),'Kode Data'!$E$3:$G$6,3,0)</f>
        <v>Bahan Tambahan</v>
      </c>
      <c r="E602" s="31" t="s">
        <v>101</v>
      </c>
      <c r="F602" s="30">
        <v>110</v>
      </c>
      <c r="G602" s="30">
        <v>0</v>
      </c>
      <c r="H602" s="30">
        <v>695</v>
      </c>
      <c r="I602" s="30">
        <v>805</v>
      </c>
      <c r="J602" s="30" t="s">
        <v>87</v>
      </c>
      <c r="K602" s="32" t="s">
        <v>116</v>
      </c>
    </row>
    <row r="603" spans="1:11" ht="14.5" x14ac:dyDescent="0.35">
      <c r="A603" s="29">
        <v>45888</v>
      </c>
      <c r="B603" s="30" t="s">
        <v>42</v>
      </c>
      <c r="C603" s="31" t="str">
        <f>VLOOKUP(B603,'Kode Data'!$B$3:$C$23,2,0)</f>
        <v>Calcium Propionate</v>
      </c>
      <c r="D603" s="30" t="str">
        <f>VLOOKUP(LEFT(B603,2),'Kode Data'!$E$3:$G$6,3,0)</f>
        <v>Bahan Tambahan</v>
      </c>
      <c r="E603" s="31" t="s">
        <v>121</v>
      </c>
      <c r="F603" s="30">
        <v>55</v>
      </c>
      <c r="G603" s="30">
        <v>0</v>
      </c>
      <c r="H603" s="30">
        <v>550</v>
      </c>
      <c r="I603" s="30">
        <v>605</v>
      </c>
      <c r="J603" s="30" t="s">
        <v>87</v>
      </c>
      <c r="K603" s="32" t="s">
        <v>116</v>
      </c>
    </row>
    <row r="604" spans="1:11" ht="14.5" x14ac:dyDescent="0.35">
      <c r="A604" s="29">
        <v>45888</v>
      </c>
      <c r="B604" s="30" t="s">
        <v>46</v>
      </c>
      <c r="C604" s="31" t="str">
        <f>VLOOKUP(B604,'Kode Data'!$B$3:$C$23,2,0)</f>
        <v>Karung Kemasan 25 Kg</v>
      </c>
      <c r="D604" s="30" t="str">
        <f>VLOOKUP(LEFT(B604,2),'Kode Data'!$E$3:$G$6,3,0)</f>
        <v>Kemasan</v>
      </c>
      <c r="E604" s="31" t="s">
        <v>84</v>
      </c>
      <c r="F604" s="30">
        <v>350</v>
      </c>
      <c r="G604" s="30">
        <v>0</v>
      </c>
      <c r="H604" s="30">
        <v>3200</v>
      </c>
      <c r="I604" s="30">
        <v>3550</v>
      </c>
      <c r="J604" s="30" t="s">
        <v>80</v>
      </c>
      <c r="K604" s="32" t="s">
        <v>85</v>
      </c>
    </row>
    <row r="605" spans="1:11" ht="14.5" x14ac:dyDescent="0.35">
      <c r="A605" s="33">
        <v>45888</v>
      </c>
      <c r="B605" s="30" t="s">
        <v>54</v>
      </c>
      <c r="C605" s="31" t="str">
        <f>VLOOKUP(B605,'Kode Data'!$B$3:$C$23,2,0)</f>
        <v>Karton Box</v>
      </c>
      <c r="D605" s="30" t="str">
        <f>VLOOKUP(LEFT(B605,2),'Kode Data'!$E$3:$G$6,3,0)</f>
        <v>Kemasan</v>
      </c>
      <c r="E605" s="31" t="s">
        <v>97</v>
      </c>
      <c r="F605" s="30">
        <v>700</v>
      </c>
      <c r="G605" s="30">
        <v>0</v>
      </c>
      <c r="H605" s="30">
        <v>10850</v>
      </c>
      <c r="I605" s="30">
        <v>11550</v>
      </c>
      <c r="J605" s="30" t="s">
        <v>80</v>
      </c>
      <c r="K605" s="32" t="s">
        <v>85</v>
      </c>
    </row>
    <row r="606" spans="1:11" ht="14.5" x14ac:dyDescent="0.35">
      <c r="A606" s="33">
        <v>45888</v>
      </c>
      <c r="B606" s="30" t="s">
        <v>19</v>
      </c>
      <c r="C606" s="31" t="str">
        <f>VLOOKUP(B606,'Kode Data'!$B$3:$C$23,2,0)</f>
        <v>Bran Gandum</v>
      </c>
      <c r="D606" s="30" t="str">
        <f>VLOOKUP(LEFT(B606,2),'Kode Data'!$E$3:$G$6,3,0)</f>
        <v>Bahan Baku</v>
      </c>
      <c r="E606" s="31" t="s">
        <v>79</v>
      </c>
      <c r="F606" s="30">
        <v>300</v>
      </c>
      <c r="G606" s="30">
        <v>0</v>
      </c>
      <c r="H606" s="30">
        <v>2150</v>
      </c>
      <c r="I606" s="30">
        <v>2450</v>
      </c>
      <c r="J606" s="30" t="s">
        <v>87</v>
      </c>
      <c r="K606" s="32" t="s">
        <v>110</v>
      </c>
    </row>
    <row r="607" spans="1:11" ht="14.5" x14ac:dyDescent="0.35">
      <c r="A607" s="29">
        <v>45889</v>
      </c>
      <c r="B607" s="30" t="s">
        <v>34</v>
      </c>
      <c r="C607" s="31" t="str">
        <f>VLOOKUP(B607,'Kode Data'!$B$3:$C$23,2,0)</f>
        <v>Tepung Premix</v>
      </c>
      <c r="D607" s="30" t="str">
        <f>VLOOKUP(LEFT(B607,2),'Kode Data'!$E$3:$G$6,3,0)</f>
        <v>Bahan Tambahan</v>
      </c>
      <c r="E607" s="31" t="s">
        <v>82</v>
      </c>
      <c r="F607" s="30">
        <v>220</v>
      </c>
      <c r="G607" s="30">
        <v>0</v>
      </c>
      <c r="H607" s="30">
        <v>770</v>
      </c>
      <c r="I607" s="30">
        <v>990</v>
      </c>
      <c r="J607" s="30" t="s">
        <v>87</v>
      </c>
      <c r="K607" s="32" t="s">
        <v>96</v>
      </c>
    </row>
    <row r="608" spans="1:11" ht="14.5" x14ac:dyDescent="0.35">
      <c r="A608" s="29">
        <v>45889</v>
      </c>
      <c r="B608" s="30" t="s">
        <v>38</v>
      </c>
      <c r="C608" s="31" t="str">
        <f>VLOOKUP(B608,'Kode Data'!$B$3:$C$23,2,0)</f>
        <v>Improver Tepung</v>
      </c>
      <c r="D608" s="30" t="str">
        <f>VLOOKUP(LEFT(B608,2),'Kode Data'!$E$3:$G$6,3,0)</f>
        <v>Bahan Tambahan</v>
      </c>
      <c r="E608" s="31" t="s">
        <v>95</v>
      </c>
      <c r="F608" s="30">
        <v>140</v>
      </c>
      <c r="G608" s="30">
        <v>0</v>
      </c>
      <c r="H608" s="30">
        <v>440</v>
      </c>
      <c r="I608" s="30">
        <v>580</v>
      </c>
      <c r="J608" s="30" t="s">
        <v>87</v>
      </c>
      <c r="K608" s="32" t="s">
        <v>116</v>
      </c>
    </row>
    <row r="609" spans="1:11" ht="14.5" x14ac:dyDescent="0.35">
      <c r="A609" s="29">
        <v>45889</v>
      </c>
      <c r="B609" s="30" t="s">
        <v>62</v>
      </c>
      <c r="C609" s="31" t="str">
        <f>VLOOKUP(B609,'Kode Data'!$B$3:$C$23,2,0)</f>
        <v>Tepung Terigu Serbaguna</v>
      </c>
      <c r="D609" s="30" t="str">
        <f>VLOOKUP(LEFT(B609,2),'Kode Data'!$E$3:$G$6,3,0)</f>
        <v>Produk</v>
      </c>
      <c r="E609" s="31" t="s">
        <v>82</v>
      </c>
      <c r="F609" s="30">
        <v>800</v>
      </c>
      <c r="G609" s="30">
        <v>0</v>
      </c>
      <c r="H609" s="30">
        <v>2100</v>
      </c>
      <c r="I609" s="30">
        <v>2900</v>
      </c>
      <c r="J609" s="30" t="s">
        <v>80</v>
      </c>
      <c r="K609" s="32" t="s">
        <v>81</v>
      </c>
    </row>
    <row r="610" spans="1:11" ht="14.5" x14ac:dyDescent="0.35">
      <c r="A610" s="29">
        <v>45889</v>
      </c>
      <c r="B610" s="30" t="s">
        <v>46</v>
      </c>
      <c r="C610" s="31" t="str">
        <f>VLOOKUP(B610,'Kode Data'!$B$3:$C$23,2,0)</f>
        <v>Karung Kemasan 25 Kg</v>
      </c>
      <c r="D610" s="30" t="str">
        <f>VLOOKUP(LEFT(B610,2),'Kode Data'!$E$3:$G$6,3,0)</f>
        <v>Kemasan</v>
      </c>
      <c r="E610" s="31" t="s">
        <v>86</v>
      </c>
      <c r="F610" s="30">
        <v>0</v>
      </c>
      <c r="G610" s="30">
        <v>200</v>
      </c>
      <c r="H610" s="30">
        <v>3550</v>
      </c>
      <c r="I610" s="30">
        <v>3350</v>
      </c>
      <c r="J610" s="30" t="s">
        <v>80</v>
      </c>
      <c r="K610" s="32" t="s">
        <v>93</v>
      </c>
    </row>
    <row r="611" spans="1:11" ht="14.5" x14ac:dyDescent="0.35">
      <c r="A611" s="33">
        <v>45889</v>
      </c>
      <c r="B611" s="30" t="s">
        <v>14</v>
      </c>
      <c r="C611" s="31" t="str">
        <f>VLOOKUP(B611,'Kode Data'!$B$3:$C$23,2,0)</f>
        <v>Gandum Durum</v>
      </c>
      <c r="D611" s="30" t="str">
        <f>VLOOKUP(LEFT(B611,2),'Kode Data'!$E$3:$G$6,3,0)</f>
        <v>Bahan Baku</v>
      </c>
      <c r="E611" s="31" t="s">
        <v>79</v>
      </c>
      <c r="F611" s="30">
        <v>0</v>
      </c>
      <c r="G611" s="30">
        <v>260</v>
      </c>
      <c r="H611" s="30">
        <v>1750</v>
      </c>
      <c r="I611" s="30">
        <v>1490</v>
      </c>
      <c r="J611" s="30" t="s">
        <v>87</v>
      </c>
      <c r="K611" s="32" t="s">
        <v>104</v>
      </c>
    </row>
    <row r="612" spans="1:11" ht="14.5" x14ac:dyDescent="0.35">
      <c r="A612" s="29">
        <v>45890</v>
      </c>
      <c r="B612" s="30" t="s">
        <v>26</v>
      </c>
      <c r="C612" s="31" t="str">
        <f>VLOOKUP(B612,'Kode Data'!$B$3:$C$23,2,0)</f>
        <v>Enzim Baking</v>
      </c>
      <c r="D612" s="30" t="str">
        <f>VLOOKUP(LEFT(B612,2),'Kode Data'!$E$3:$G$6,3,0)</f>
        <v>Bahan Tambahan</v>
      </c>
      <c r="E612" s="31" t="s">
        <v>100</v>
      </c>
      <c r="F612" s="30">
        <v>90</v>
      </c>
      <c r="G612" s="30">
        <v>0</v>
      </c>
      <c r="H612" s="30">
        <v>285</v>
      </c>
      <c r="I612" s="30">
        <v>375</v>
      </c>
      <c r="J612" s="30" t="s">
        <v>87</v>
      </c>
      <c r="K612" s="32" t="s">
        <v>116</v>
      </c>
    </row>
    <row r="613" spans="1:11" ht="14.5" x14ac:dyDescent="0.35">
      <c r="A613" s="33">
        <v>45891</v>
      </c>
      <c r="B613" s="30" t="s">
        <v>56</v>
      </c>
      <c r="C613" s="31" t="str">
        <f>VLOOKUP(B613,'Kode Data'!$B$3:$C$23,2,0)</f>
        <v>Label Produk</v>
      </c>
      <c r="D613" s="30" t="str">
        <f>VLOOKUP(LEFT(B613,2),'Kode Data'!$E$3:$G$6,3,0)</f>
        <v>Kemasan</v>
      </c>
      <c r="E613" s="31" t="s">
        <v>120</v>
      </c>
      <c r="F613" s="30">
        <v>0</v>
      </c>
      <c r="G613" s="30">
        <v>400</v>
      </c>
      <c r="H613" s="30">
        <v>2400</v>
      </c>
      <c r="I613" s="30">
        <v>2000</v>
      </c>
      <c r="J613" s="30" t="s">
        <v>80</v>
      </c>
      <c r="K613" s="32" t="s">
        <v>93</v>
      </c>
    </row>
    <row r="614" spans="1:11" ht="14.5" x14ac:dyDescent="0.35">
      <c r="A614" s="33">
        <v>45891</v>
      </c>
      <c r="B614" s="30" t="s">
        <v>24</v>
      </c>
      <c r="C614" s="31" t="str">
        <f>VLOOKUP(B614,'Kode Data'!$B$3:$C$23,2,0)</f>
        <v>Germ Gandum</v>
      </c>
      <c r="D614" s="30" t="str">
        <f>VLOOKUP(LEFT(B614,2),'Kode Data'!$E$3:$G$6,3,0)</f>
        <v>Bahan Baku</v>
      </c>
      <c r="E614" s="31" t="s">
        <v>79</v>
      </c>
      <c r="F614" s="30">
        <v>0</v>
      </c>
      <c r="G614" s="30">
        <v>190</v>
      </c>
      <c r="H614" s="30">
        <v>2050</v>
      </c>
      <c r="I614" s="30">
        <v>1860</v>
      </c>
      <c r="J614" s="30" t="s">
        <v>87</v>
      </c>
      <c r="K614" s="32" t="s">
        <v>104</v>
      </c>
    </row>
    <row r="615" spans="1:11" ht="14.5" x14ac:dyDescent="0.35">
      <c r="A615" s="33">
        <v>45892</v>
      </c>
      <c r="B615" s="30" t="s">
        <v>9</v>
      </c>
      <c r="C615" s="31" t="str">
        <f>VLOOKUP(B615,'Kode Data'!$B$3:$C$23,2,0)</f>
        <v>Gandum Soft Wheat</v>
      </c>
      <c r="D615" s="30" t="str">
        <f>VLOOKUP(LEFT(B615,2),'Kode Data'!$E$3:$G$6,3,0)</f>
        <v>Bahan Baku</v>
      </c>
      <c r="E615" s="31" t="s">
        <v>89</v>
      </c>
      <c r="F615" s="30">
        <v>0</v>
      </c>
      <c r="G615" s="30">
        <v>300</v>
      </c>
      <c r="H615" s="30">
        <v>2650</v>
      </c>
      <c r="I615" s="30">
        <v>2350</v>
      </c>
      <c r="J615" s="30" t="s">
        <v>87</v>
      </c>
      <c r="K615" s="32" t="s">
        <v>104</v>
      </c>
    </row>
    <row r="616" spans="1:11" ht="14.5" x14ac:dyDescent="0.35">
      <c r="A616" s="33">
        <v>45894</v>
      </c>
      <c r="B616" s="30" t="s">
        <v>58</v>
      </c>
      <c r="C616" s="31" t="str">
        <f>VLOOKUP(B616,'Kode Data'!$B$3:$C$23,2,0)</f>
        <v>Pallet Kayu</v>
      </c>
      <c r="D616" s="30" t="str">
        <f>VLOOKUP(LEFT(B616,2),'Kode Data'!$E$3:$G$6,3,0)</f>
        <v>Kemasan</v>
      </c>
      <c r="E616" s="31" t="s">
        <v>94</v>
      </c>
      <c r="F616" s="30">
        <v>0</v>
      </c>
      <c r="G616" s="30">
        <v>30</v>
      </c>
      <c r="H616" s="30">
        <v>300</v>
      </c>
      <c r="I616" s="30">
        <v>270</v>
      </c>
      <c r="J616" s="30" t="s">
        <v>80</v>
      </c>
      <c r="K616" s="32" t="s">
        <v>93</v>
      </c>
    </row>
    <row r="617" spans="1:11" ht="14.5" x14ac:dyDescent="0.35">
      <c r="A617" s="33">
        <v>45894</v>
      </c>
      <c r="B617" s="30" t="s">
        <v>19</v>
      </c>
      <c r="C617" s="31" t="str">
        <f>VLOOKUP(B617,'Kode Data'!$B$3:$C$23,2,0)</f>
        <v>Bran Gandum</v>
      </c>
      <c r="D617" s="30" t="str">
        <f>VLOOKUP(LEFT(B617,2),'Kode Data'!$E$3:$G$6,3,0)</f>
        <v>Bahan Baku</v>
      </c>
      <c r="E617" s="31" t="s">
        <v>98</v>
      </c>
      <c r="F617" s="30">
        <v>0</v>
      </c>
      <c r="G617" s="30">
        <v>250</v>
      </c>
      <c r="H617" s="30">
        <v>2450</v>
      </c>
      <c r="I617" s="30">
        <v>2200</v>
      </c>
      <c r="J617" s="30" t="s">
        <v>87</v>
      </c>
      <c r="K617" s="32" t="s">
        <v>104</v>
      </c>
    </row>
    <row r="618" spans="1:11" ht="14.5" x14ac:dyDescent="0.35">
      <c r="A618" s="29">
        <v>45895</v>
      </c>
      <c r="B618" s="30" t="s">
        <v>60</v>
      </c>
      <c r="C618" s="31" t="str">
        <f>VLOOKUP(B618,'Kode Data'!$B$3:$C$23,2,0)</f>
        <v>Tepung Terigu Protein Tinggi</v>
      </c>
      <c r="D618" s="30" t="str">
        <f>VLOOKUP(LEFT(B618,2),'Kode Data'!$E$3:$G$6,3,0)</f>
        <v>Produk</v>
      </c>
      <c r="E618" s="31" t="s">
        <v>108</v>
      </c>
      <c r="F618" s="30">
        <v>0</v>
      </c>
      <c r="G618" s="30">
        <v>700</v>
      </c>
      <c r="H618" s="30">
        <v>2300</v>
      </c>
      <c r="I618" s="30">
        <v>1600</v>
      </c>
      <c r="J618" s="30" t="s">
        <v>80</v>
      </c>
      <c r="K618" s="32" t="s">
        <v>90</v>
      </c>
    </row>
    <row r="619" spans="1:11" ht="14.5" x14ac:dyDescent="0.35">
      <c r="A619" s="33">
        <v>45895</v>
      </c>
      <c r="B619" s="30" t="s">
        <v>14</v>
      </c>
      <c r="C619" s="31" t="str">
        <f>VLOOKUP(B619,'Kode Data'!$B$3:$C$23,2,0)</f>
        <v>Gandum Durum</v>
      </c>
      <c r="D619" s="30" t="str">
        <f>VLOOKUP(LEFT(B619,2),'Kode Data'!$E$3:$G$6,3,0)</f>
        <v>Bahan Baku</v>
      </c>
      <c r="E619" s="31" t="s">
        <v>98</v>
      </c>
      <c r="F619" s="30">
        <v>300</v>
      </c>
      <c r="G619" s="30">
        <v>0</v>
      </c>
      <c r="H619" s="30">
        <v>1490</v>
      </c>
      <c r="I619" s="30">
        <v>1790</v>
      </c>
      <c r="J619" s="30" t="s">
        <v>87</v>
      </c>
      <c r="K619" s="32" t="s">
        <v>88</v>
      </c>
    </row>
    <row r="620" spans="1:11" ht="14.5" x14ac:dyDescent="0.35">
      <c r="A620" s="29">
        <v>45896</v>
      </c>
      <c r="B620" s="30" t="s">
        <v>30</v>
      </c>
      <c r="C620" s="31" t="str">
        <f>VLOOKUP(B620,'Kode Data'!$B$3:$C$23,2,0)</f>
        <v>Vitamin Fortifikasi</v>
      </c>
      <c r="D620" s="30" t="str">
        <f>VLOOKUP(LEFT(B620,2),'Kode Data'!$E$3:$G$6,3,0)</f>
        <v>Bahan Tambahan</v>
      </c>
      <c r="E620" s="31" t="s">
        <v>112</v>
      </c>
      <c r="F620" s="30">
        <v>0</v>
      </c>
      <c r="G620" s="30">
        <v>90</v>
      </c>
      <c r="H620" s="30">
        <v>805</v>
      </c>
      <c r="I620" s="30">
        <v>715</v>
      </c>
      <c r="J620" s="30" t="s">
        <v>87</v>
      </c>
      <c r="K620" s="32" t="s">
        <v>104</v>
      </c>
    </row>
    <row r="621" spans="1:11" ht="14.5" x14ac:dyDescent="0.35">
      <c r="A621" s="29">
        <v>45896</v>
      </c>
      <c r="B621" s="30" t="s">
        <v>42</v>
      </c>
      <c r="C621" s="31" t="str">
        <f>VLOOKUP(B621,'Kode Data'!$B$3:$C$23,2,0)</f>
        <v>Calcium Propionate</v>
      </c>
      <c r="D621" s="30" t="str">
        <f>VLOOKUP(LEFT(B621,2),'Kode Data'!$E$3:$G$6,3,0)</f>
        <v>Bahan Tambahan</v>
      </c>
      <c r="E621" s="31" t="s">
        <v>95</v>
      </c>
      <c r="F621" s="30">
        <v>0</v>
      </c>
      <c r="G621" s="30">
        <v>35</v>
      </c>
      <c r="H621" s="30">
        <v>605</v>
      </c>
      <c r="I621" s="30">
        <v>570</v>
      </c>
      <c r="J621" s="30" t="s">
        <v>87</v>
      </c>
      <c r="K621" s="32" t="s">
        <v>104</v>
      </c>
    </row>
    <row r="622" spans="1:11" ht="14.5" x14ac:dyDescent="0.35">
      <c r="A622" s="29">
        <v>45897</v>
      </c>
      <c r="B622" s="30" t="s">
        <v>34</v>
      </c>
      <c r="C622" s="31" t="str">
        <f>VLOOKUP(B622,'Kode Data'!$B$3:$C$23,2,0)</f>
        <v>Tepung Premix</v>
      </c>
      <c r="D622" s="30" t="str">
        <f>VLOOKUP(LEFT(B622,2),'Kode Data'!$E$3:$G$6,3,0)</f>
        <v>Bahan Tambahan</v>
      </c>
      <c r="E622" s="31" t="s">
        <v>79</v>
      </c>
      <c r="F622" s="30">
        <v>0</v>
      </c>
      <c r="G622" s="30">
        <v>160</v>
      </c>
      <c r="H622" s="30">
        <v>990</v>
      </c>
      <c r="I622" s="30">
        <v>830</v>
      </c>
      <c r="J622" s="30" t="s">
        <v>87</v>
      </c>
      <c r="K622" s="32" t="s">
        <v>104</v>
      </c>
    </row>
    <row r="623" spans="1:11" ht="14.5" x14ac:dyDescent="0.35">
      <c r="A623" s="29">
        <v>45897</v>
      </c>
      <c r="B623" s="30" t="s">
        <v>38</v>
      </c>
      <c r="C623" s="31" t="str">
        <f>VLOOKUP(B623,'Kode Data'!$B$3:$C$23,2,0)</f>
        <v>Improver Tepung</v>
      </c>
      <c r="D623" s="30" t="str">
        <f>VLOOKUP(LEFT(B623,2),'Kode Data'!$E$3:$G$6,3,0)</f>
        <v>Bahan Tambahan</v>
      </c>
      <c r="E623" s="31" t="s">
        <v>107</v>
      </c>
      <c r="F623" s="30">
        <v>0</v>
      </c>
      <c r="G623" s="30">
        <v>170</v>
      </c>
      <c r="H623" s="30">
        <v>580</v>
      </c>
      <c r="I623" s="30">
        <v>410</v>
      </c>
      <c r="J623" s="30" t="s">
        <v>87</v>
      </c>
      <c r="K623" s="32" t="s">
        <v>104</v>
      </c>
    </row>
    <row r="624" spans="1:11" ht="14.5" x14ac:dyDescent="0.35">
      <c r="A624" s="29">
        <v>45897</v>
      </c>
      <c r="B624" s="30" t="s">
        <v>62</v>
      </c>
      <c r="C624" s="31" t="str">
        <f>VLOOKUP(B624,'Kode Data'!$B$3:$C$23,2,0)</f>
        <v>Tepung Terigu Serbaguna</v>
      </c>
      <c r="D624" s="30" t="str">
        <f>VLOOKUP(LEFT(B624,2),'Kode Data'!$E$3:$G$6,3,0)</f>
        <v>Produk</v>
      </c>
      <c r="E624" s="31" t="s">
        <v>79</v>
      </c>
      <c r="F624" s="30">
        <v>0</v>
      </c>
      <c r="G624" s="30">
        <v>800</v>
      </c>
      <c r="H624" s="30">
        <v>2900</v>
      </c>
      <c r="I624" s="30">
        <v>2100</v>
      </c>
      <c r="J624" s="30" t="s">
        <v>80</v>
      </c>
      <c r="K624" s="32" t="s">
        <v>90</v>
      </c>
    </row>
    <row r="625" spans="1:11" ht="14.5" x14ac:dyDescent="0.35">
      <c r="A625" s="29">
        <v>45899</v>
      </c>
      <c r="B625" s="30" t="s">
        <v>26</v>
      </c>
      <c r="C625" s="31" t="str">
        <f>VLOOKUP(B625,'Kode Data'!$B$3:$C$23,2,0)</f>
        <v>Enzim Baking</v>
      </c>
      <c r="D625" s="30" t="str">
        <f>VLOOKUP(LEFT(B625,2),'Kode Data'!$E$3:$G$6,3,0)</f>
        <v>Bahan Tambahan</v>
      </c>
      <c r="E625" s="31" t="s">
        <v>106</v>
      </c>
      <c r="F625" s="30">
        <v>0</v>
      </c>
      <c r="G625" s="30">
        <v>95</v>
      </c>
      <c r="H625" s="30">
        <v>375</v>
      </c>
      <c r="I625" s="30">
        <v>280</v>
      </c>
      <c r="J625" s="30" t="s">
        <v>87</v>
      </c>
      <c r="K625" s="32" t="s">
        <v>104</v>
      </c>
    </row>
    <row r="626" spans="1:11" ht="14.5" x14ac:dyDescent="0.35">
      <c r="A626" s="29">
        <v>45899</v>
      </c>
      <c r="B626" s="30" t="s">
        <v>66</v>
      </c>
      <c r="C626" s="31" t="str">
        <f>VLOOKUP(B626,'Kode Data'!$B$3:$C$23,2,0)</f>
        <v>Tepung Terigu Khusus Roti</v>
      </c>
      <c r="D626" s="30" t="str">
        <f>VLOOKUP(LEFT(B626,2),'Kode Data'!$E$3:$G$6,3,0)</f>
        <v>Produk</v>
      </c>
      <c r="E626" s="31" t="s">
        <v>79</v>
      </c>
      <c r="F626" s="30">
        <v>500</v>
      </c>
      <c r="G626" s="30">
        <v>0</v>
      </c>
      <c r="H626" s="30">
        <v>1650</v>
      </c>
      <c r="I626" s="30">
        <v>2150</v>
      </c>
      <c r="J626" s="30" t="s">
        <v>80</v>
      </c>
      <c r="K626" s="32" t="s">
        <v>81</v>
      </c>
    </row>
    <row r="627" spans="1:11" ht="14.5" x14ac:dyDescent="0.35">
      <c r="A627" s="33">
        <v>45899</v>
      </c>
      <c r="B627" s="30" t="s">
        <v>54</v>
      </c>
      <c r="C627" s="31" t="str">
        <f>VLOOKUP(B627,'Kode Data'!$B$3:$C$23,2,0)</f>
        <v>Karton Box</v>
      </c>
      <c r="D627" s="30" t="str">
        <f>VLOOKUP(LEFT(B627,2),'Kode Data'!$E$3:$G$6,3,0)</f>
        <v>Kemasan</v>
      </c>
      <c r="E627" s="31" t="s">
        <v>109</v>
      </c>
      <c r="F627" s="30">
        <v>0</v>
      </c>
      <c r="G627" s="30">
        <v>400</v>
      </c>
      <c r="H627" s="30">
        <v>11550</v>
      </c>
      <c r="I627" s="30">
        <v>11150</v>
      </c>
      <c r="J627" s="30" t="s">
        <v>80</v>
      </c>
      <c r="K627" s="32" t="s">
        <v>93</v>
      </c>
    </row>
    <row r="628" spans="1:11" ht="14.5" x14ac:dyDescent="0.35">
      <c r="A628" s="33">
        <v>45899</v>
      </c>
      <c r="B628" s="30" t="s">
        <v>4</v>
      </c>
      <c r="C628" s="31" t="str">
        <f>VLOOKUP(B628,'Kode Data'!$B$3:$C$23,2,0)</f>
        <v>Gandum Hard Wheat</v>
      </c>
      <c r="D628" s="30" t="str">
        <f>VLOOKUP(LEFT(B628,2),'Kode Data'!$E$3:$G$6,3,0)</f>
        <v>Bahan Baku</v>
      </c>
      <c r="E628" s="31" t="s">
        <v>89</v>
      </c>
      <c r="F628" s="30">
        <v>600</v>
      </c>
      <c r="G628" s="30">
        <v>0</v>
      </c>
      <c r="H628" s="30">
        <v>2850</v>
      </c>
      <c r="I628" s="30">
        <v>3450</v>
      </c>
      <c r="J628" s="30" t="s">
        <v>87</v>
      </c>
      <c r="K628" s="32" t="s">
        <v>110</v>
      </c>
    </row>
    <row r="629" spans="1:11" ht="14.5" x14ac:dyDescent="0.35">
      <c r="A629" s="29">
        <v>45901</v>
      </c>
      <c r="B629" s="30" t="s">
        <v>66</v>
      </c>
      <c r="C629" s="31" t="str">
        <f>VLOOKUP(B629,'Kode Data'!$B$3:$C$23,2,0)</f>
        <v>Tepung Terigu Khusus Roti</v>
      </c>
      <c r="D629" s="30" t="str">
        <f>VLOOKUP(LEFT(B629,2),'Kode Data'!$E$3:$G$6,3,0)</f>
        <v>Produk</v>
      </c>
      <c r="E629" s="31" t="s">
        <v>82</v>
      </c>
      <c r="F629" s="30">
        <v>0</v>
      </c>
      <c r="G629" s="30">
        <v>450</v>
      </c>
      <c r="H629" s="30">
        <v>2150</v>
      </c>
      <c r="I629" s="30">
        <v>1700</v>
      </c>
      <c r="J629" s="30" t="s">
        <v>80</v>
      </c>
      <c r="K629" s="32" t="s">
        <v>90</v>
      </c>
    </row>
    <row r="630" spans="1:11" ht="14.5" x14ac:dyDescent="0.35">
      <c r="A630" s="33">
        <v>45901</v>
      </c>
      <c r="B630" s="30" t="s">
        <v>19</v>
      </c>
      <c r="C630" s="31" t="str">
        <f>VLOOKUP(B630,'Kode Data'!$B$3:$C$23,2,0)</f>
        <v>Bran Gandum</v>
      </c>
      <c r="D630" s="30" t="str">
        <f>VLOOKUP(LEFT(B630,2),'Kode Data'!$E$3:$G$6,3,0)</f>
        <v>Bahan Baku</v>
      </c>
      <c r="E630" s="31" t="s">
        <v>118</v>
      </c>
      <c r="F630" s="30">
        <v>400</v>
      </c>
      <c r="G630" s="30">
        <v>0</v>
      </c>
      <c r="H630" s="30">
        <v>2200</v>
      </c>
      <c r="I630" s="30">
        <v>2600</v>
      </c>
      <c r="J630" s="30" t="s">
        <v>87</v>
      </c>
      <c r="K630" s="32" t="s">
        <v>88</v>
      </c>
    </row>
    <row r="631" spans="1:11" ht="14.5" x14ac:dyDescent="0.35">
      <c r="A631" s="33">
        <v>45902</v>
      </c>
      <c r="B631" s="30" t="s">
        <v>54</v>
      </c>
      <c r="C631" s="31" t="str">
        <f>VLOOKUP(B631,'Kode Data'!$B$3:$C$23,2,0)</f>
        <v>Karton Box</v>
      </c>
      <c r="D631" s="30" t="str">
        <f>VLOOKUP(LEFT(B631,2),'Kode Data'!$E$3:$G$6,3,0)</f>
        <v>Kemasan</v>
      </c>
      <c r="E631" s="31" t="s">
        <v>114</v>
      </c>
      <c r="F631" s="30">
        <v>900</v>
      </c>
      <c r="G631" s="30">
        <v>0</v>
      </c>
      <c r="H631" s="30">
        <v>11150</v>
      </c>
      <c r="I631" s="30">
        <v>12050</v>
      </c>
      <c r="J631" s="30" t="s">
        <v>80</v>
      </c>
      <c r="K631" s="32" t="s">
        <v>85</v>
      </c>
    </row>
    <row r="632" spans="1:11" ht="14.5" x14ac:dyDescent="0.35">
      <c r="A632" s="33">
        <v>45902</v>
      </c>
      <c r="B632" s="30" t="s">
        <v>58</v>
      </c>
      <c r="C632" s="31" t="str">
        <f>VLOOKUP(B632,'Kode Data'!$B$3:$C$23,2,0)</f>
        <v>Pallet Kayu</v>
      </c>
      <c r="D632" s="30" t="str">
        <f>VLOOKUP(LEFT(B632,2),'Kode Data'!$E$3:$G$6,3,0)</f>
        <v>Kemasan</v>
      </c>
      <c r="E632" s="31" t="s">
        <v>122</v>
      </c>
      <c r="F632" s="30">
        <v>70</v>
      </c>
      <c r="G632" s="30">
        <v>0</v>
      </c>
      <c r="H632" s="30">
        <v>270</v>
      </c>
      <c r="I632" s="30">
        <v>340</v>
      </c>
      <c r="J632" s="30" t="s">
        <v>80</v>
      </c>
      <c r="K632" s="32" t="s">
        <v>85</v>
      </c>
    </row>
    <row r="633" spans="1:11" ht="14.5" x14ac:dyDescent="0.35">
      <c r="A633" s="33">
        <v>45902</v>
      </c>
      <c r="B633" s="30" t="s">
        <v>9</v>
      </c>
      <c r="C633" s="31" t="str">
        <f>VLOOKUP(B633,'Kode Data'!$B$3:$C$23,2,0)</f>
        <v>Gandum Soft Wheat</v>
      </c>
      <c r="D633" s="30" t="str">
        <f>VLOOKUP(LEFT(B633,2),'Kode Data'!$E$3:$G$6,3,0)</f>
        <v>Bahan Baku</v>
      </c>
      <c r="E633" s="31" t="s">
        <v>98</v>
      </c>
      <c r="F633" s="30">
        <v>400</v>
      </c>
      <c r="G633" s="30">
        <v>0</v>
      </c>
      <c r="H633" s="30">
        <v>2350</v>
      </c>
      <c r="I633" s="30">
        <v>2750</v>
      </c>
      <c r="J633" s="30" t="s">
        <v>87</v>
      </c>
      <c r="K633" s="32" t="s">
        <v>88</v>
      </c>
    </row>
    <row r="634" spans="1:11" ht="14.5" x14ac:dyDescent="0.35">
      <c r="A634" s="33">
        <v>45902</v>
      </c>
      <c r="B634" s="30" t="s">
        <v>14</v>
      </c>
      <c r="C634" s="31" t="str">
        <f>VLOOKUP(B634,'Kode Data'!$B$3:$C$23,2,0)</f>
        <v>Gandum Durum</v>
      </c>
      <c r="D634" s="30" t="str">
        <f>VLOOKUP(LEFT(B634,2),'Kode Data'!$E$3:$G$6,3,0)</f>
        <v>Bahan Baku</v>
      </c>
      <c r="E634" s="31" t="s">
        <v>89</v>
      </c>
      <c r="F634" s="30">
        <v>0</v>
      </c>
      <c r="G634" s="30">
        <v>320</v>
      </c>
      <c r="H634" s="30">
        <v>1790</v>
      </c>
      <c r="I634" s="30">
        <v>1470</v>
      </c>
      <c r="J634" s="30" t="s">
        <v>87</v>
      </c>
      <c r="K634" s="32" t="s">
        <v>104</v>
      </c>
    </row>
    <row r="635" spans="1:11" ht="14.5" x14ac:dyDescent="0.35">
      <c r="A635" s="33">
        <v>45903</v>
      </c>
      <c r="B635" s="30" t="s">
        <v>56</v>
      </c>
      <c r="C635" s="31" t="str">
        <f>VLOOKUP(B635,'Kode Data'!$B$3:$C$23,2,0)</f>
        <v>Label Produk</v>
      </c>
      <c r="D635" s="30" t="str">
        <f>VLOOKUP(LEFT(B635,2),'Kode Data'!$E$3:$G$6,3,0)</f>
        <v>Kemasan</v>
      </c>
      <c r="E635" s="31" t="s">
        <v>103</v>
      </c>
      <c r="F635" s="30">
        <v>500</v>
      </c>
      <c r="G635" s="30">
        <v>0</v>
      </c>
      <c r="H635" s="30">
        <v>2000</v>
      </c>
      <c r="I635" s="30">
        <v>2500</v>
      </c>
      <c r="J635" s="30" t="s">
        <v>80</v>
      </c>
      <c r="K635" s="32" t="s">
        <v>85</v>
      </c>
    </row>
    <row r="636" spans="1:11" ht="14.5" x14ac:dyDescent="0.35">
      <c r="A636" s="29">
        <v>45904</v>
      </c>
      <c r="B636" s="30" t="s">
        <v>30</v>
      </c>
      <c r="C636" s="31" t="str">
        <f>VLOOKUP(B636,'Kode Data'!$B$3:$C$23,2,0)</f>
        <v>Vitamin Fortifikasi</v>
      </c>
      <c r="D636" s="30" t="str">
        <f>VLOOKUP(LEFT(B636,2),'Kode Data'!$E$3:$G$6,3,0)</f>
        <v>Bahan Tambahan</v>
      </c>
      <c r="E636" s="31" t="s">
        <v>119</v>
      </c>
      <c r="F636" s="30">
        <v>120</v>
      </c>
      <c r="G636" s="30">
        <v>0</v>
      </c>
      <c r="H636" s="30">
        <v>715</v>
      </c>
      <c r="I636" s="30">
        <v>835</v>
      </c>
      <c r="J636" s="30" t="s">
        <v>87</v>
      </c>
      <c r="K636" s="32" t="s">
        <v>96</v>
      </c>
    </row>
    <row r="637" spans="1:11" ht="14.5" x14ac:dyDescent="0.35">
      <c r="A637" s="29">
        <v>45904</v>
      </c>
      <c r="B637" s="30" t="s">
        <v>42</v>
      </c>
      <c r="C637" s="31" t="str">
        <f>VLOOKUP(B637,'Kode Data'!$B$3:$C$23,2,0)</f>
        <v>Calcium Propionate</v>
      </c>
      <c r="D637" s="30" t="str">
        <f>VLOOKUP(LEFT(B637,2),'Kode Data'!$E$3:$G$6,3,0)</f>
        <v>Bahan Tambahan</v>
      </c>
      <c r="E637" s="31" t="s">
        <v>111</v>
      </c>
      <c r="F637" s="30">
        <v>50</v>
      </c>
      <c r="G637" s="30">
        <v>0</v>
      </c>
      <c r="H637" s="30">
        <v>570</v>
      </c>
      <c r="I637" s="30">
        <v>620</v>
      </c>
      <c r="J637" s="30" t="s">
        <v>87</v>
      </c>
      <c r="K637" s="32" t="s">
        <v>116</v>
      </c>
    </row>
    <row r="638" spans="1:11" ht="14.5" x14ac:dyDescent="0.35">
      <c r="A638" s="29">
        <v>45904</v>
      </c>
      <c r="B638" s="30" t="s">
        <v>60</v>
      </c>
      <c r="C638" s="31" t="str">
        <f>VLOOKUP(B638,'Kode Data'!$B$3:$C$23,2,0)</f>
        <v>Tepung Terigu Protein Tinggi</v>
      </c>
      <c r="D638" s="30" t="str">
        <f>VLOOKUP(LEFT(B638,2),'Kode Data'!$E$3:$G$6,3,0)</f>
        <v>Produk</v>
      </c>
      <c r="E638" s="31" t="s">
        <v>113</v>
      </c>
      <c r="F638" s="30">
        <v>600</v>
      </c>
      <c r="G638" s="30">
        <v>0</v>
      </c>
      <c r="H638" s="30">
        <v>1600</v>
      </c>
      <c r="I638" s="30">
        <v>2200</v>
      </c>
      <c r="J638" s="30" t="s">
        <v>80</v>
      </c>
      <c r="K638" s="32" t="s">
        <v>81</v>
      </c>
    </row>
    <row r="639" spans="1:11" ht="14.5" x14ac:dyDescent="0.35">
      <c r="A639" s="33">
        <v>45904</v>
      </c>
      <c r="B639" s="30" t="s">
        <v>4</v>
      </c>
      <c r="C639" s="31" t="str">
        <f>VLOOKUP(B639,'Kode Data'!$B$3:$C$23,2,0)</f>
        <v>Gandum Hard Wheat</v>
      </c>
      <c r="D639" s="30" t="str">
        <f>VLOOKUP(LEFT(B639,2),'Kode Data'!$E$3:$G$6,3,0)</f>
        <v>Bahan Baku</v>
      </c>
      <c r="E639" s="31" t="s">
        <v>79</v>
      </c>
      <c r="F639" s="30">
        <v>0</v>
      </c>
      <c r="G639" s="30">
        <v>500</v>
      </c>
      <c r="H639" s="30">
        <v>3450</v>
      </c>
      <c r="I639" s="30">
        <v>2950</v>
      </c>
      <c r="J639" s="30" t="s">
        <v>87</v>
      </c>
      <c r="K639" s="32" t="s">
        <v>104</v>
      </c>
    </row>
    <row r="640" spans="1:11" ht="14.5" x14ac:dyDescent="0.35">
      <c r="A640" s="29">
        <v>45905</v>
      </c>
      <c r="B640" s="30" t="s">
        <v>34</v>
      </c>
      <c r="C640" s="31" t="str">
        <f>VLOOKUP(B640,'Kode Data'!$B$3:$C$23,2,0)</f>
        <v>Tepung Premix</v>
      </c>
      <c r="D640" s="30" t="str">
        <f>VLOOKUP(LEFT(B640,2),'Kode Data'!$E$3:$G$6,3,0)</f>
        <v>Bahan Tambahan</v>
      </c>
      <c r="E640" s="31" t="s">
        <v>89</v>
      </c>
      <c r="F640" s="30">
        <v>200</v>
      </c>
      <c r="G640" s="30">
        <v>0</v>
      </c>
      <c r="H640" s="30">
        <v>830</v>
      </c>
      <c r="I640" s="30">
        <v>1030</v>
      </c>
      <c r="J640" s="30" t="s">
        <v>87</v>
      </c>
      <c r="K640" s="32" t="s">
        <v>96</v>
      </c>
    </row>
    <row r="641" spans="1:11" ht="14.5" x14ac:dyDescent="0.35">
      <c r="A641" s="33">
        <v>45905</v>
      </c>
      <c r="B641" s="30" t="s">
        <v>24</v>
      </c>
      <c r="C641" s="31" t="str">
        <f>VLOOKUP(B641,'Kode Data'!$B$3:$C$23,2,0)</f>
        <v>Germ Gandum</v>
      </c>
      <c r="D641" s="30" t="str">
        <f>VLOOKUP(LEFT(B641,2),'Kode Data'!$E$3:$G$6,3,0)</f>
        <v>Bahan Baku</v>
      </c>
      <c r="E641" s="31" t="s">
        <v>89</v>
      </c>
      <c r="F641" s="30">
        <v>270</v>
      </c>
      <c r="G641" s="30">
        <v>0</v>
      </c>
      <c r="H641" s="30">
        <v>1860</v>
      </c>
      <c r="I641" s="30">
        <v>2130</v>
      </c>
      <c r="J641" s="30" t="s">
        <v>87</v>
      </c>
      <c r="K641" s="32" t="s">
        <v>88</v>
      </c>
    </row>
    <row r="642" spans="1:11" ht="14.5" x14ac:dyDescent="0.35">
      <c r="A642" s="29">
        <v>45906</v>
      </c>
      <c r="B642" s="30" t="s">
        <v>26</v>
      </c>
      <c r="C642" s="31" t="str">
        <f>VLOOKUP(B642,'Kode Data'!$B$3:$C$23,2,0)</f>
        <v>Enzim Baking</v>
      </c>
      <c r="D642" s="30" t="str">
        <f>VLOOKUP(LEFT(B642,2),'Kode Data'!$E$3:$G$6,3,0)</f>
        <v>Bahan Tambahan</v>
      </c>
      <c r="E642" s="31" t="s">
        <v>115</v>
      </c>
      <c r="F642" s="30">
        <v>130</v>
      </c>
      <c r="G642" s="30">
        <v>0</v>
      </c>
      <c r="H642" s="30">
        <v>280</v>
      </c>
      <c r="I642" s="30">
        <v>410</v>
      </c>
      <c r="J642" s="30" t="s">
        <v>87</v>
      </c>
      <c r="K642" s="32" t="s">
        <v>96</v>
      </c>
    </row>
    <row r="643" spans="1:11" ht="14.5" x14ac:dyDescent="0.35">
      <c r="A643" s="29">
        <v>45906</v>
      </c>
      <c r="B643" s="30" t="s">
        <v>38</v>
      </c>
      <c r="C643" s="31" t="str">
        <f>VLOOKUP(B643,'Kode Data'!$B$3:$C$23,2,0)</f>
        <v>Improver Tepung</v>
      </c>
      <c r="D643" s="30" t="str">
        <f>VLOOKUP(LEFT(B643,2),'Kode Data'!$E$3:$G$6,3,0)</f>
        <v>Bahan Tambahan</v>
      </c>
      <c r="E643" s="31" t="s">
        <v>117</v>
      </c>
      <c r="F643" s="30">
        <v>160</v>
      </c>
      <c r="G643" s="30">
        <v>0</v>
      </c>
      <c r="H643" s="30">
        <v>410</v>
      </c>
      <c r="I643" s="30">
        <v>570</v>
      </c>
      <c r="J643" s="30" t="s">
        <v>87</v>
      </c>
      <c r="K643" s="32" t="s">
        <v>96</v>
      </c>
    </row>
    <row r="644" spans="1:11" ht="14.5" x14ac:dyDescent="0.35">
      <c r="A644" s="29">
        <v>45906</v>
      </c>
      <c r="B644" s="30" t="s">
        <v>62</v>
      </c>
      <c r="C644" s="31" t="str">
        <f>VLOOKUP(B644,'Kode Data'!$B$3:$C$23,2,0)</f>
        <v>Tepung Terigu Serbaguna</v>
      </c>
      <c r="D644" s="30" t="str">
        <f>VLOOKUP(LEFT(B644,2),'Kode Data'!$E$3:$G$6,3,0)</f>
        <v>Produk</v>
      </c>
      <c r="E644" s="31" t="s">
        <v>89</v>
      </c>
      <c r="F644" s="30">
        <v>900</v>
      </c>
      <c r="G644" s="30">
        <v>0</v>
      </c>
      <c r="H644" s="30">
        <v>2100</v>
      </c>
      <c r="I644" s="30">
        <v>3000</v>
      </c>
      <c r="J644" s="30" t="s">
        <v>80</v>
      </c>
      <c r="K644" s="32" t="s">
        <v>81</v>
      </c>
    </row>
    <row r="645" spans="1:11" ht="14.5" x14ac:dyDescent="0.35">
      <c r="A645" s="33">
        <v>45907</v>
      </c>
      <c r="B645" s="30" t="s">
        <v>54</v>
      </c>
      <c r="C645" s="31" t="str">
        <f>VLOOKUP(B645,'Kode Data'!$B$3:$C$23,2,0)</f>
        <v>Karton Box</v>
      </c>
      <c r="D645" s="30" t="str">
        <f>VLOOKUP(LEFT(B645,2),'Kode Data'!$E$3:$G$6,3,0)</f>
        <v>Kemasan</v>
      </c>
      <c r="E645" s="31" t="s">
        <v>97</v>
      </c>
      <c r="F645" s="30">
        <v>0</v>
      </c>
      <c r="G645" s="30">
        <v>600</v>
      </c>
      <c r="H645" s="30">
        <v>12050</v>
      </c>
      <c r="I645" s="30">
        <v>11450</v>
      </c>
      <c r="J645" s="30" t="s">
        <v>80</v>
      </c>
      <c r="K645" s="32" t="s">
        <v>93</v>
      </c>
    </row>
    <row r="646" spans="1:11" ht="14.5" x14ac:dyDescent="0.35">
      <c r="A646" s="33">
        <v>45907</v>
      </c>
      <c r="B646" s="30" t="s">
        <v>19</v>
      </c>
      <c r="C646" s="31" t="str">
        <f>VLOOKUP(B646,'Kode Data'!$B$3:$C$23,2,0)</f>
        <v>Bran Gandum</v>
      </c>
      <c r="D646" s="30" t="str">
        <f>VLOOKUP(LEFT(B646,2),'Kode Data'!$E$3:$G$6,3,0)</f>
        <v>Bahan Baku</v>
      </c>
      <c r="E646" s="31" t="s">
        <v>79</v>
      </c>
      <c r="F646" s="30">
        <v>0</v>
      </c>
      <c r="G646" s="30">
        <v>300</v>
      </c>
      <c r="H646" s="30">
        <v>2600</v>
      </c>
      <c r="I646" s="30">
        <v>2300</v>
      </c>
      <c r="J646" s="30" t="s">
        <v>87</v>
      </c>
      <c r="K646" s="32" t="s">
        <v>104</v>
      </c>
    </row>
    <row r="647" spans="1:11" ht="14.5" x14ac:dyDescent="0.35">
      <c r="A647" s="33">
        <v>45909</v>
      </c>
      <c r="B647" s="30" t="s">
        <v>58</v>
      </c>
      <c r="C647" s="31" t="str">
        <f>VLOOKUP(B647,'Kode Data'!$B$3:$C$23,2,0)</f>
        <v>Pallet Kayu</v>
      </c>
      <c r="D647" s="30" t="str">
        <f>VLOOKUP(LEFT(B647,2),'Kode Data'!$E$3:$G$6,3,0)</f>
        <v>Kemasan</v>
      </c>
      <c r="E647" s="31" t="s">
        <v>94</v>
      </c>
      <c r="F647" s="30">
        <v>0</v>
      </c>
      <c r="G647" s="30">
        <v>60</v>
      </c>
      <c r="H647" s="30">
        <v>340</v>
      </c>
      <c r="I647" s="30">
        <v>280</v>
      </c>
      <c r="J647" s="30" t="s">
        <v>80</v>
      </c>
      <c r="K647" s="32" t="s">
        <v>93</v>
      </c>
    </row>
    <row r="648" spans="1:11" ht="14.5" x14ac:dyDescent="0.35">
      <c r="A648" s="29">
        <v>45910</v>
      </c>
      <c r="B648" s="30" t="s">
        <v>60</v>
      </c>
      <c r="C648" s="31" t="str">
        <f>VLOOKUP(B648,'Kode Data'!$B$3:$C$23,2,0)</f>
        <v>Tepung Terigu Protein Tinggi</v>
      </c>
      <c r="D648" s="30" t="str">
        <f>VLOOKUP(LEFT(B648,2),'Kode Data'!$E$3:$G$6,3,0)</f>
        <v>Produk</v>
      </c>
      <c r="E648" s="31" t="s">
        <v>102</v>
      </c>
      <c r="F648" s="30">
        <v>0</v>
      </c>
      <c r="G648" s="30">
        <v>500</v>
      </c>
      <c r="H648" s="30">
        <v>2200</v>
      </c>
      <c r="I648" s="30">
        <v>1700</v>
      </c>
      <c r="J648" s="30" t="s">
        <v>80</v>
      </c>
      <c r="K648" s="32" t="s">
        <v>90</v>
      </c>
    </row>
    <row r="649" spans="1:11" ht="14.5" x14ac:dyDescent="0.35">
      <c r="A649" s="33">
        <v>45910</v>
      </c>
      <c r="B649" s="30" t="s">
        <v>9</v>
      </c>
      <c r="C649" s="31" t="str">
        <f>VLOOKUP(B649,'Kode Data'!$B$3:$C$23,2,0)</f>
        <v>Gandum Soft Wheat</v>
      </c>
      <c r="D649" s="30" t="str">
        <f>VLOOKUP(LEFT(B649,2),'Kode Data'!$E$3:$G$6,3,0)</f>
        <v>Bahan Baku</v>
      </c>
      <c r="E649" s="31" t="s">
        <v>79</v>
      </c>
      <c r="F649" s="30">
        <v>0</v>
      </c>
      <c r="G649" s="30">
        <v>350</v>
      </c>
      <c r="H649" s="30">
        <v>2750</v>
      </c>
      <c r="I649" s="30">
        <v>2400</v>
      </c>
      <c r="J649" s="30" t="s">
        <v>87</v>
      </c>
      <c r="K649" s="32" t="s">
        <v>104</v>
      </c>
    </row>
    <row r="650" spans="1:11" ht="14.5" x14ac:dyDescent="0.35">
      <c r="A650" s="33">
        <v>45911</v>
      </c>
      <c r="B650" s="30" t="s">
        <v>56</v>
      </c>
      <c r="C650" s="31" t="str">
        <f>VLOOKUP(B650,'Kode Data'!$B$3:$C$23,2,0)</f>
        <v>Label Produk</v>
      </c>
      <c r="D650" s="30" t="str">
        <f>VLOOKUP(LEFT(B650,2),'Kode Data'!$E$3:$G$6,3,0)</f>
        <v>Kemasan</v>
      </c>
      <c r="E650" s="31" t="s">
        <v>103</v>
      </c>
      <c r="F650" s="30">
        <v>0</v>
      </c>
      <c r="G650" s="30">
        <v>400</v>
      </c>
      <c r="H650" s="30">
        <v>2500</v>
      </c>
      <c r="I650" s="30">
        <v>2100</v>
      </c>
      <c r="J650" s="30" t="s">
        <v>80</v>
      </c>
      <c r="K650" s="32" t="s">
        <v>93</v>
      </c>
    </row>
    <row r="651" spans="1:11" ht="14.5" x14ac:dyDescent="0.35">
      <c r="A651" s="33">
        <v>45911</v>
      </c>
      <c r="B651" s="30" t="s">
        <v>14</v>
      </c>
      <c r="C651" s="31" t="str">
        <f>VLOOKUP(B651,'Kode Data'!$B$3:$C$23,2,0)</f>
        <v>Gandum Durum</v>
      </c>
      <c r="D651" s="30" t="str">
        <f>VLOOKUP(LEFT(B651,2),'Kode Data'!$E$3:$G$6,3,0)</f>
        <v>Bahan Baku</v>
      </c>
      <c r="E651" s="31" t="s">
        <v>79</v>
      </c>
      <c r="F651" s="30">
        <v>260</v>
      </c>
      <c r="G651" s="30">
        <v>0</v>
      </c>
      <c r="H651" s="30">
        <v>1470</v>
      </c>
      <c r="I651" s="30">
        <v>1730</v>
      </c>
      <c r="J651" s="30" t="s">
        <v>87</v>
      </c>
      <c r="K651" s="32" t="s">
        <v>110</v>
      </c>
    </row>
    <row r="652" spans="1:11" ht="14.5" x14ac:dyDescent="0.35">
      <c r="A652" s="29">
        <v>45912</v>
      </c>
      <c r="B652" s="30" t="s">
        <v>30</v>
      </c>
      <c r="C652" s="31" t="str">
        <f>VLOOKUP(B652,'Kode Data'!$B$3:$C$23,2,0)</f>
        <v>Vitamin Fortifikasi</v>
      </c>
      <c r="D652" s="30" t="str">
        <f>VLOOKUP(LEFT(B652,2),'Kode Data'!$E$3:$G$6,3,0)</f>
        <v>Bahan Tambahan</v>
      </c>
      <c r="E652" s="31" t="s">
        <v>101</v>
      </c>
      <c r="F652" s="30">
        <v>0</v>
      </c>
      <c r="G652" s="30">
        <v>100</v>
      </c>
      <c r="H652" s="30">
        <v>835</v>
      </c>
      <c r="I652" s="30">
        <v>735</v>
      </c>
      <c r="J652" s="30" t="s">
        <v>87</v>
      </c>
      <c r="K652" s="32" t="s">
        <v>104</v>
      </c>
    </row>
    <row r="653" spans="1:11" ht="14.5" x14ac:dyDescent="0.35">
      <c r="A653" s="29">
        <v>45912</v>
      </c>
      <c r="B653" s="30" t="s">
        <v>42</v>
      </c>
      <c r="C653" s="31" t="str">
        <f>VLOOKUP(B653,'Kode Data'!$B$3:$C$23,2,0)</f>
        <v>Calcium Propionate</v>
      </c>
      <c r="D653" s="30" t="str">
        <f>VLOOKUP(LEFT(B653,2),'Kode Data'!$E$3:$G$6,3,0)</f>
        <v>Bahan Tambahan</v>
      </c>
      <c r="E653" s="31" t="s">
        <v>121</v>
      </c>
      <c r="F653" s="30">
        <v>0</v>
      </c>
      <c r="G653" s="30">
        <v>25</v>
      </c>
      <c r="H653" s="30">
        <v>620</v>
      </c>
      <c r="I653" s="30">
        <v>595</v>
      </c>
      <c r="J653" s="30" t="s">
        <v>87</v>
      </c>
      <c r="K653" s="32" t="s">
        <v>104</v>
      </c>
    </row>
    <row r="654" spans="1:11" ht="14.5" x14ac:dyDescent="0.35">
      <c r="A654" s="33">
        <v>45912</v>
      </c>
      <c r="B654" s="30" t="s">
        <v>24</v>
      </c>
      <c r="C654" s="31" t="str">
        <f>VLOOKUP(B654,'Kode Data'!$B$3:$C$23,2,0)</f>
        <v>Germ Gandum</v>
      </c>
      <c r="D654" s="30" t="str">
        <f>VLOOKUP(LEFT(B654,2),'Kode Data'!$E$3:$G$6,3,0)</f>
        <v>Bahan Baku</v>
      </c>
      <c r="E654" s="31" t="s">
        <v>89</v>
      </c>
      <c r="F654" s="30">
        <v>0</v>
      </c>
      <c r="G654" s="30">
        <v>220</v>
      </c>
      <c r="H654" s="30">
        <v>2130</v>
      </c>
      <c r="I654" s="30">
        <v>1910</v>
      </c>
      <c r="J654" s="30" t="s">
        <v>87</v>
      </c>
      <c r="K654" s="32" t="s">
        <v>104</v>
      </c>
    </row>
    <row r="655" spans="1:11" ht="14.5" x14ac:dyDescent="0.35">
      <c r="A655" s="29">
        <v>45913</v>
      </c>
      <c r="B655" s="30" t="s">
        <v>68</v>
      </c>
      <c r="C655" s="31" t="str">
        <f>VLOOKUP(B655,'Kode Data'!$B$3:$C$23,2,0)</f>
        <v>Tepung Terigu Khusus Kue</v>
      </c>
      <c r="D655" s="30" t="str">
        <f>VLOOKUP(LEFT(B655,2),'Kode Data'!$E$3:$G$6,3,0)</f>
        <v>Produk</v>
      </c>
      <c r="E655" s="31" t="s">
        <v>83</v>
      </c>
      <c r="F655" s="30">
        <v>0</v>
      </c>
      <c r="G655" s="30">
        <v>450</v>
      </c>
      <c r="H655" s="30">
        <v>3200</v>
      </c>
      <c r="I655" s="30">
        <v>2750</v>
      </c>
      <c r="J655" s="30" t="s">
        <v>80</v>
      </c>
      <c r="K655" s="32" t="s">
        <v>90</v>
      </c>
    </row>
    <row r="656" spans="1:11" ht="14.5" x14ac:dyDescent="0.35">
      <c r="A656" s="29">
        <v>45914</v>
      </c>
      <c r="B656" s="30" t="s">
        <v>26</v>
      </c>
      <c r="C656" s="31" t="str">
        <f>VLOOKUP(B656,'Kode Data'!$B$3:$C$23,2,0)</f>
        <v>Enzim Baking</v>
      </c>
      <c r="D656" s="30" t="str">
        <f>VLOOKUP(LEFT(B656,2),'Kode Data'!$E$3:$G$6,3,0)</f>
        <v>Bahan Tambahan</v>
      </c>
      <c r="E656" s="31" t="s">
        <v>100</v>
      </c>
      <c r="F656" s="30">
        <v>0</v>
      </c>
      <c r="G656" s="30">
        <v>100</v>
      </c>
      <c r="H656" s="30">
        <v>410</v>
      </c>
      <c r="I656" s="30">
        <v>310</v>
      </c>
      <c r="J656" s="30" t="s">
        <v>87</v>
      </c>
      <c r="K656" s="32" t="s">
        <v>104</v>
      </c>
    </row>
    <row r="657" spans="1:11" ht="14.5" x14ac:dyDescent="0.35">
      <c r="A657" s="29">
        <v>45914</v>
      </c>
      <c r="B657" s="30" t="s">
        <v>34</v>
      </c>
      <c r="C657" s="31" t="str">
        <f>VLOOKUP(B657,'Kode Data'!$B$3:$C$23,2,0)</f>
        <v>Tepung Premix</v>
      </c>
      <c r="D657" s="30" t="str">
        <f>VLOOKUP(LEFT(B657,2),'Kode Data'!$E$3:$G$6,3,0)</f>
        <v>Bahan Tambahan</v>
      </c>
      <c r="E657" s="31" t="s">
        <v>82</v>
      </c>
      <c r="F657" s="30">
        <v>0</v>
      </c>
      <c r="G657" s="30">
        <v>220</v>
      </c>
      <c r="H657" s="30">
        <v>1030</v>
      </c>
      <c r="I657" s="30">
        <v>810</v>
      </c>
      <c r="J657" s="30" t="s">
        <v>87</v>
      </c>
      <c r="K657" s="32" t="s">
        <v>104</v>
      </c>
    </row>
    <row r="658" spans="1:11" ht="14.5" x14ac:dyDescent="0.35">
      <c r="A658" s="29">
        <v>45914</v>
      </c>
      <c r="B658" s="30" t="s">
        <v>38</v>
      </c>
      <c r="C658" s="31" t="str">
        <f>VLOOKUP(B658,'Kode Data'!$B$3:$C$23,2,0)</f>
        <v>Improver Tepung</v>
      </c>
      <c r="D658" s="30" t="str">
        <f>VLOOKUP(LEFT(B658,2),'Kode Data'!$E$3:$G$6,3,0)</f>
        <v>Bahan Tambahan</v>
      </c>
      <c r="E658" s="31" t="s">
        <v>95</v>
      </c>
      <c r="F658" s="30">
        <v>0</v>
      </c>
      <c r="G658" s="30">
        <v>150</v>
      </c>
      <c r="H658" s="30">
        <v>570</v>
      </c>
      <c r="I658" s="30">
        <v>420</v>
      </c>
      <c r="J658" s="30" t="s">
        <v>87</v>
      </c>
      <c r="K658" s="32" t="s">
        <v>104</v>
      </c>
    </row>
    <row r="659" spans="1:11" ht="14.5" x14ac:dyDescent="0.35">
      <c r="A659" s="33">
        <v>45914</v>
      </c>
      <c r="B659" s="30" t="s">
        <v>4</v>
      </c>
      <c r="C659" s="31" t="str">
        <f>VLOOKUP(B659,'Kode Data'!$B$3:$C$23,2,0)</f>
        <v>Gandum Hard Wheat</v>
      </c>
      <c r="D659" s="30" t="str">
        <f>VLOOKUP(LEFT(B659,2),'Kode Data'!$E$3:$G$6,3,0)</f>
        <v>Bahan Baku</v>
      </c>
      <c r="E659" s="31" t="s">
        <v>98</v>
      </c>
      <c r="F659" s="30">
        <v>550</v>
      </c>
      <c r="G659" s="30">
        <v>0</v>
      </c>
      <c r="H659" s="30">
        <v>2950</v>
      </c>
      <c r="I659" s="30">
        <v>3500</v>
      </c>
      <c r="J659" s="30" t="s">
        <v>87</v>
      </c>
      <c r="K659" s="32" t="s">
        <v>88</v>
      </c>
    </row>
    <row r="660" spans="1:11" ht="14.5" x14ac:dyDescent="0.35">
      <c r="A660" s="29">
        <v>45915</v>
      </c>
      <c r="B660" s="30" t="s">
        <v>62</v>
      </c>
      <c r="C660" s="31" t="str">
        <f>VLOOKUP(B660,'Kode Data'!$B$3:$C$23,2,0)</f>
        <v>Tepung Terigu Serbaguna</v>
      </c>
      <c r="D660" s="30" t="str">
        <f>VLOOKUP(LEFT(B660,2),'Kode Data'!$E$3:$G$6,3,0)</f>
        <v>Produk</v>
      </c>
      <c r="E660" s="31" t="s">
        <v>82</v>
      </c>
      <c r="F660" s="30">
        <v>0</v>
      </c>
      <c r="G660" s="30">
        <v>700</v>
      </c>
      <c r="H660" s="30">
        <v>3000</v>
      </c>
      <c r="I660" s="30">
        <v>2300</v>
      </c>
      <c r="J660" s="30" t="s">
        <v>80</v>
      </c>
      <c r="K660" s="32" t="s">
        <v>90</v>
      </c>
    </row>
    <row r="661" spans="1:11" ht="14.5" x14ac:dyDescent="0.35">
      <c r="A661" s="29">
        <v>45915</v>
      </c>
      <c r="B661" s="30" t="s">
        <v>68</v>
      </c>
      <c r="C661" s="31" t="str">
        <f>VLOOKUP(B661,'Kode Data'!$B$3:$C$23,2,0)</f>
        <v>Tepung Terigu Khusus Kue</v>
      </c>
      <c r="D661" s="30" t="str">
        <f>VLOOKUP(LEFT(B661,2),'Kode Data'!$E$3:$G$6,3,0)</f>
        <v>Produk</v>
      </c>
      <c r="E661" s="31" t="s">
        <v>91</v>
      </c>
      <c r="F661" s="30">
        <v>600</v>
      </c>
      <c r="G661" s="30">
        <v>0</v>
      </c>
      <c r="H661" s="30">
        <v>2750</v>
      </c>
      <c r="I661" s="30">
        <v>3350</v>
      </c>
      <c r="J661" s="30" t="s">
        <v>80</v>
      </c>
      <c r="K661" s="32" t="s">
        <v>81</v>
      </c>
    </row>
    <row r="662" spans="1:11" ht="14.5" x14ac:dyDescent="0.35">
      <c r="A662" s="33">
        <v>45915</v>
      </c>
      <c r="B662" s="30" t="s">
        <v>54</v>
      </c>
      <c r="C662" s="31" t="str">
        <f>VLOOKUP(B662,'Kode Data'!$B$3:$C$23,2,0)</f>
        <v>Karton Box</v>
      </c>
      <c r="D662" s="30" t="str">
        <f>VLOOKUP(LEFT(B662,2),'Kode Data'!$E$3:$G$6,3,0)</f>
        <v>Kemasan</v>
      </c>
      <c r="E662" s="31" t="s">
        <v>109</v>
      </c>
      <c r="F662" s="30">
        <v>800</v>
      </c>
      <c r="G662" s="30">
        <v>0</v>
      </c>
      <c r="H662" s="30">
        <v>11450</v>
      </c>
      <c r="I662" s="30">
        <v>12250</v>
      </c>
      <c r="J662" s="30" t="s">
        <v>80</v>
      </c>
      <c r="K662" s="32" t="s">
        <v>85</v>
      </c>
    </row>
    <row r="663" spans="1:11" ht="14.5" x14ac:dyDescent="0.35">
      <c r="A663" s="29">
        <v>45916</v>
      </c>
      <c r="B663" s="30" t="s">
        <v>68</v>
      </c>
      <c r="C663" s="31" t="str">
        <f>VLOOKUP(B663,'Kode Data'!$B$3:$C$23,2,0)</f>
        <v>Tepung Terigu Khusus Kue</v>
      </c>
      <c r="D663" s="30" t="str">
        <f>VLOOKUP(LEFT(B663,2),'Kode Data'!$E$3:$G$6,3,0)</f>
        <v>Produk</v>
      </c>
      <c r="E663" s="31" t="s">
        <v>89</v>
      </c>
      <c r="F663" s="30">
        <v>0</v>
      </c>
      <c r="G663" s="30">
        <v>500</v>
      </c>
      <c r="H663" s="30">
        <v>3350</v>
      </c>
      <c r="I663" s="30">
        <v>2850</v>
      </c>
      <c r="J663" s="30" t="s">
        <v>80</v>
      </c>
      <c r="K663" s="32" t="s">
        <v>90</v>
      </c>
    </row>
    <row r="664" spans="1:11" ht="14.5" x14ac:dyDescent="0.35">
      <c r="A664" s="33">
        <v>45916</v>
      </c>
      <c r="B664" s="30" t="s">
        <v>58</v>
      </c>
      <c r="C664" s="31" t="str">
        <f>VLOOKUP(B664,'Kode Data'!$B$3:$C$23,2,0)</f>
        <v>Pallet Kayu</v>
      </c>
      <c r="D664" s="30" t="str">
        <f>VLOOKUP(LEFT(B664,2),'Kode Data'!$E$3:$G$6,3,0)</f>
        <v>Kemasan</v>
      </c>
      <c r="E664" s="31" t="s">
        <v>105</v>
      </c>
      <c r="F664" s="30">
        <v>50</v>
      </c>
      <c r="G664" s="30">
        <v>0</v>
      </c>
      <c r="H664" s="30">
        <v>280</v>
      </c>
      <c r="I664" s="30">
        <v>330</v>
      </c>
      <c r="J664" s="30" t="s">
        <v>80</v>
      </c>
      <c r="K664" s="32" t="s">
        <v>85</v>
      </c>
    </row>
    <row r="665" spans="1:11" ht="14.5" x14ac:dyDescent="0.35">
      <c r="A665" s="33">
        <v>45916</v>
      </c>
      <c r="B665" s="30" t="s">
        <v>19</v>
      </c>
      <c r="C665" s="31" t="str">
        <f>VLOOKUP(B665,'Kode Data'!$B$3:$C$23,2,0)</f>
        <v>Bran Gandum</v>
      </c>
      <c r="D665" s="30" t="str">
        <f>VLOOKUP(LEFT(B665,2),'Kode Data'!$E$3:$G$6,3,0)</f>
        <v>Bahan Baku</v>
      </c>
      <c r="E665" s="31" t="s">
        <v>98</v>
      </c>
      <c r="F665" s="30">
        <v>350</v>
      </c>
      <c r="G665" s="30">
        <v>0</v>
      </c>
      <c r="H665" s="30">
        <v>2300</v>
      </c>
      <c r="I665" s="30">
        <v>2650</v>
      </c>
      <c r="J665" s="30" t="s">
        <v>87</v>
      </c>
      <c r="K665" s="32" t="s">
        <v>110</v>
      </c>
    </row>
    <row r="666" spans="1:11" ht="14.5" x14ac:dyDescent="0.35">
      <c r="A666" s="29">
        <v>45917</v>
      </c>
      <c r="B666" s="30" t="s">
        <v>60</v>
      </c>
      <c r="C666" s="31" t="str">
        <f>VLOOKUP(B666,'Kode Data'!$B$3:$C$23,2,0)</f>
        <v>Tepung Terigu Protein Tinggi</v>
      </c>
      <c r="D666" s="30" t="str">
        <f>VLOOKUP(LEFT(B666,2),'Kode Data'!$E$3:$G$6,3,0)</f>
        <v>Produk</v>
      </c>
      <c r="E666" s="31" t="s">
        <v>108</v>
      </c>
      <c r="F666" s="30">
        <v>700</v>
      </c>
      <c r="G666" s="30">
        <v>0</v>
      </c>
      <c r="H666" s="30">
        <v>1700</v>
      </c>
      <c r="I666" s="30">
        <v>2400</v>
      </c>
      <c r="J666" s="30" t="s">
        <v>80</v>
      </c>
      <c r="K666" s="32" t="s">
        <v>81</v>
      </c>
    </row>
    <row r="667" spans="1:11" ht="14.5" x14ac:dyDescent="0.35">
      <c r="A667" s="29">
        <v>45918</v>
      </c>
      <c r="B667" s="30" t="s">
        <v>68</v>
      </c>
      <c r="C667" s="31" t="str">
        <f>VLOOKUP(B667,'Kode Data'!$B$3:$C$23,2,0)</f>
        <v>Tepung Terigu Khusus Kue</v>
      </c>
      <c r="D667" s="30" t="str">
        <f>VLOOKUP(LEFT(B667,2),'Kode Data'!$E$3:$G$6,3,0)</f>
        <v>Produk</v>
      </c>
      <c r="E667" s="31" t="s">
        <v>83</v>
      </c>
      <c r="F667" s="30">
        <v>550</v>
      </c>
      <c r="G667" s="30">
        <v>0</v>
      </c>
      <c r="H667" s="30">
        <v>2850</v>
      </c>
      <c r="I667" s="30">
        <v>3400</v>
      </c>
      <c r="J667" s="30" t="s">
        <v>80</v>
      </c>
      <c r="K667" s="32" t="s">
        <v>81</v>
      </c>
    </row>
    <row r="668" spans="1:11" ht="14.5" x14ac:dyDescent="0.35">
      <c r="A668" s="33">
        <v>45918</v>
      </c>
      <c r="B668" s="30" t="s">
        <v>9</v>
      </c>
      <c r="C668" s="31" t="str">
        <f>VLOOKUP(B668,'Kode Data'!$B$3:$C$23,2,0)</f>
        <v>Gandum Soft Wheat</v>
      </c>
      <c r="D668" s="30" t="str">
        <f>VLOOKUP(LEFT(B668,2),'Kode Data'!$E$3:$G$6,3,0)</f>
        <v>Bahan Baku</v>
      </c>
      <c r="E668" s="31" t="s">
        <v>89</v>
      </c>
      <c r="F668" s="30">
        <v>300</v>
      </c>
      <c r="G668" s="30">
        <v>0</v>
      </c>
      <c r="H668" s="30">
        <v>2400</v>
      </c>
      <c r="I668" s="30">
        <v>2700</v>
      </c>
      <c r="J668" s="30" t="s">
        <v>87</v>
      </c>
      <c r="K668" s="32" t="s">
        <v>110</v>
      </c>
    </row>
    <row r="669" spans="1:11" ht="14.5" x14ac:dyDescent="0.35">
      <c r="A669" s="33">
        <v>45919</v>
      </c>
      <c r="B669" s="30" t="s">
        <v>56</v>
      </c>
      <c r="C669" s="31" t="str">
        <f>VLOOKUP(B669,'Kode Data'!$B$3:$C$23,2,0)</f>
        <v>Label Produk</v>
      </c>
      <c r="D669" s="30" t="str">
        <f>VLOOKUP(LEFT(B669,2),'Kode Data'!$E$3:$G$6,3,0)</f>
        <v>Kemasan</v>
      </c>
      <c r="E669" s="31" t="s">
        <v>120</v>
      </c>
      <c r="F669" s="30">
        <v>300</v>
      </c>
      <c r="G669" s="30">
        <v>0</v>
      </c>
      <c r="H669" s="30">
        <v>2100</v>
      </c>
      <c r="I669" s="30">
        <v>2400</v>
      </c>
      <c r="J669" s="30" t="s">
        <v>80</v>
      </c>
      <c r="K669" s="32" t="s">
        <v>85</v>
      </c>
    </row>
    <row r="670" spans="1:11" ht="14.5" x14ac:dyDescent="0.35">
      <c r="A670" s="29">
        <v>45920</v>
      </c>
      <c r="B670" s="30" t="s">
        <v>30</v>
      </c>
      <c r="C670" s="31" t="str">
        <f>VLOOKUP(B670,'Kode Data'!$B$3:$C$23,2,0)</f>
        <v>Vitamin Fortifikasi</v>
      </c>
      <c r="D670" s="30" t="str">
        <f>VLOOKUP(LEFT(B670,2),'Kode Data'!$E$3:$G$6,3,0)</f>
        <v>Bahan Tambahan</v>
      </c>
      <c r="E670" s="31" t="s">
        <v>112</v>
      </c>
      <c r="F670" s="30">
        <v>130</v>
      </c>
      <c r="G670" s="30">
        <v>0</v>
      </c>
      <c r="H670" s="30">
        <v>735</v>
      </c>
      <c r="I670" s="30">
        <v>865</v>
      </c>
      <c r="J670" s="30" t="s">
        <v>87</v>
      </c>
      <c r="K670" s="32" t="s">
        <v>116</v>
      </c>
    </row>
    <row r="671" spans="1:11" ht="14.5" x14ac:dyDescent="0.35">
      <c r="A671" s="29">
        <v>45920</v>
      </c>
      <c r="B671" s="30" t="s">
        <v>50</v>
      </c>
      <c r="C671" s="31" t="str">
        <f>VLOOKUP(B671,'Kode Data'!$B$3:$C$23,2,0)</f>
        <v>Plastik Kemasan 1 Kg</v>
      </c>
      <c r="D671" s="30" t="str">
        <f>VLOOKUP(LEFT(B671,2),'Kode Data'!$E$3:$G$6,3,0)</f>
        <v>Kemasan</v>
      </c>
      <c r="E671" s="31" t="s">
        <v>86</v>
      </c>
      <c r="F671" s="30">
        <v>1000</v>
      </c>
      <c r="G671" s="30">
        <v>0</v>
      </c>
      <c r="H671" s="30">
        <v>10800</v>
      </c>
      <c r="I671" s="30">
        <v>11800</v>
      </c>
      <c r="J671" s="30" t="s">
        <v>80</v>
      </c>
      <c r="K671" s="32" t="s">
        <v>85</v>
      </c>
    </row>
    <row r="672" spans="1:11" ht="14.5" x14ac:dyDescent="0.35">
      <c r="A672" s="33">
        <v>45920</v>
      </c>
      <c r="B672" s="30" t="s">
        <v>24</v>
      </c>
      <c r="C672" s="31" t="str">
        <f>VLOOKUP(B672,'Kode Data'!$B$3:$C$23,2,0)</f>
        <v>Germ Gandum</v>
      </c>
      <c r="D672" s="30" t="str">
        <f>VLOOKUP(LEFT(B672,2),'Kode Data'!$E$3:$G$6,3,0)</f>
        <v>Bahan Baku</v>
      </c>
      <c r="E672" s="31" t="s">
        <v>98</v>
      </c>
      <c r="F672" s="30">
        <v>300</v>
      </c>
      <c r="G672" s="30">
        <v>0</v>
      </c>
      <c r="H672" s="30">
        <v>1910</v>
      </c>
      <c r="I672" s="30">
        <v>2210</v>
      </c>
      <c r="J672" s="30" t="s">
        <v>87</v>
      </c>
      <c r="K672" s="32" t="s">
        <v>110</v>
      </c>
    </row>
    <row r="673" spans="1:11" ht="14.5" x14ac:dyDescent="0.35">
      <c r="A673" s="29">
        <v>45921</v>
      </c>
      <c r="B673" s="30" t="s">
        <v>42</v>
      </c>
      <c r="C673" s="31" t="str">
        <f>VLOOKUP(B673,'Kode Data'!$B$3:$C$23,2,0)</f>
        <v>Calcium Propionate</v>
      </c>
      <c r="D673" s="30" t="str">
        <f>VLOOKUP(LEFT(B673,2),'Kode Data'!$E$3:$G$6,3,0)</f>
        <v>Bahan Tambahan</v>
      </c>
      <c r="E673" s="31" t="s">
        <v>95</v>
      </c>
      <c r="F673" s="30">
        <v>45</v>
      </c>
      <c r="G673" s="30">
        <v>0</v>
      </c>
      <c r="H673" s="30">
        <v>595</v>
      </c>
      <c r="I673" s="30">
        <v>640</v>
      </c>
      <c r="J673" s="30" t="s">
        <v>87</v>
      </c>
      <c r="K673" s="32" t="s">
        <v>116</v>
      </c>
    </row>
    <row r="674" spans="1:11" ht="14.5" x14ac:dyDescent="0.35">
      <c r="A674" s="33">
        <v>45921</v>
      </c>
      <c r="B674" s="30" t="s">
        <v>52</v>
      </c>
      <c r="C674" s="31" t="str">
        <f>VLOOKUP(B674,'Kode Data'!$B$3:$C$23,2,0)</f>
        <v>Plastik Kemasan 500 gr</v>
      </c>
      <c r="D674" s="30" t="str">
        <f>VLOOKUP(LEFT(B674,2),'Kode Data'!$E$3:$G$6,3,0)</f>
        <v>Kemasan</v>
      </c>
      <c r="E674" s="31" t="s">
        <v>86</v>
      </c>
      <c r="F674" s="30">
        <v>0</v>
      </c>
      <c r="G674" s="30">
        <v>600</v>
      </c>
      <c r="H674" s="30">
        <v>8900</v>
      </c>
      <c r="I674" s="30">
        <v>8300</v>
      </c>
      <c r="J674" s="30" t="s">
        <v>80</v>
      </c>
      <c r="K674" s="32" t="s">
        <v>93</v>
      </c>
    </row>
    <row r="675" spans="1:11" ht="14.5" x14ac:dyDescent="0.35">
      <c r="A675" s="33">
        <v>45921</v>
      </c>
      <c r="B675" s="30" t="s">
        <v>4</v>
      </c>
      <c r="C675" s="31" t="str">
        <f>VLOOKUP(B675,'Kode Data'!$B$3:$C$23,2,0)</f>
        <v>Gandum Hard Wheat</v>
      </c>
      <c r="D675" s="30" t="str">
        <f>VLOOKUP(LEFT(B675,2),'Kode Data'!$E$3:$G$6,3,0)</f>
        <v>Bahan Baku</v>
      </c>
      <c r="E675" s="31" t="s">
        <v>89</v>
      </c>
      <c r="F675" s="30">
        <v>0</v>
      </c>
      <c r="G675" s="30">
        <v>450</v>
      </c>
      <c r="H675" s="30">
        <v>3500</v>
      </c>
      <c r="I675" s="30">
        <v>3050</v>
      </c>
      <c r="J675" s="30" t="s">
        <v>87</v>
      </c>
      <c r="K675" s="32" t="s">
        <v>104</v>
      </c>
    </row>
    <row r="676" spans="1:11" ht="14.5" x14ac:dyDescent="0.35">
      <c r="A676" s="29">
        <v>45922</v>
      </c>
      <c r="B676" s="30" t="s">
        <v>26</v>
      </c>
      <c r="C676" s="31" t="str">
        <f>VLOOKUP(B676,'Kode Data'!$B$3:$C$23,2,0)</f>
        <v>Enzim Baking</v>
      </c>
      <c r="D676" s="30" t="str">
        <f>VLOOKUP(LEFT(B676,2),'Kode Data'!$E$3:$G$6,3,0)</f>
        <v>Bahan Tambahan</v>
      </c>
      <c r="E676" s="31" t="s">
        <v>106</v>
      </c>
      <c r="F676" s="30">
        <v>85</v>
      </c>
      <c r="G676" s="30">
        <v>0</v>
      </c>
      <c r="H676" s="30">
        <v>310</v>
      </c>
      <c r="I676" s="30">
        <v>395</v>
      </c>
      <c r="J676" s="30" t="s">
        <v>87</v>
      </c>
      <c r="K676" s="32" t="s">
        <v>116</v>
      </c>
    </row>
    <row r="677" spans="1:11" ht="14.5" x14ac:dyDescent="0.35">
      <c r="A677" s="29">
        <v>45922</v>
      </c>
      <c r="B677" s="30" t="s">
        <v>34</v>
      </c>
      <c r="C677" s="31" t="str">
        <f>VLOOKUP(B677,'Kode Data'!$B$3:$C$23,2,0)</f>
        <v>Tepung Premix</v>
      </c>
      <c r="D677" s="30" t="str">
        <f>VLOOKUP(LEFT(B677,2),'Kode Data'!$E$3:$G$6,3,0)</f>
        <v>Bahan Tambahan</v>
      </c>
      <c r="E677" s="31" t="s">
        <v>79</v>
      </c>
      <c r="F677" s="30">
        <v>190</v>
      </c>
      <c r="G677" s="30">
        <v>0</v>
      </c>
      <c r="H677" s="30">
        <v>810</v>
      </c>
      <c r="I677" s="30">
        <v>1000</v>
      </c>
      <c r="J677" s="30" t="s">
        <v>87</v>
      </c>
      <c r="K677" s="32" t="s">
        <v>96</v>
      </c>
    </row>
    <row r="678" spans="1:11" ht="14.5" x14ac:dyDescent="0.35">
      <c r="A678" s="29">
        <v>45922</v>
      </c>
      <c r="B678" s="30" t="s">
        <v>38</v>
      </c>
      <c r="C678" s="31" t="str">
        <f>VLOOKUP(B678,'Kode Data'!$B$3:$C$23,2,0)</f>
        <v>Improver Tepung</v>
      </c>
      <c r="D678" s="30" t="str">
        <f>VLOOKUP(LEFT(B678,2),'Kode Data'!$E$3:$G$6,3,0)</f>
        <v>Bahan Tambahan</v>
      </c>
      <c r="E678" s="31" t="s">
        <v>107</v>
      </c>
      <c r="F678" s="30">
        <v>150</v>
      </c>
      <c r="G678" s="30">
        <v>0</v>
      </c>
      <c r="H678" s="30">
        <v>420</v>
      </c>
      <c r="I678" s="30">
        <v>570</v>
      </c>
      <c r="J678" s="30" t="s">
        <v>87</v>
      </c>
      <c r="K678" s="32" t="s">
        <v>116</v>
      </c>
    </row>
    <row r="679" spans="1:11" ht="14.5" x14ac:dyDescent="0.35">
      <c r="A679" s="29">
        <v>45922</v>
      </c>
      <c r="B679" s="30" t="s">
        <v>46</v>
      </c>
      <c r="C679" s="31" t="str">
        <f>VLOOKUP(B679,'Kode Data'!$B$3:$C$23,2,0)</f>
        <v>Karung Kemasan 25 Kg</v>
      </c>
      <c r="D679" s="30" t="str">
        <f>VLOOKUP(LEFT(B679,2),'Kode Data'!$E$3:$G$6,3,0)</f>
        <v>Kemasan</v>
      </c>
      <c r="E679" s="31" t="s">
        <v>97</v>
      </c>
      <c r="F679" s="30">
        <v>400</v>
      </c>
      <c r="G679" s="30">
        <v>0</v>
      </c>
      <c r="H679" s="30">
        <v>3350</v>
      </c>
      <c r="I679" s="30">
        <v>3750</v>
      </c>
      <c r="J679" s="30" t="s">
        <v>80</v>
      </c>
      <c r="K679" s="32" t="s">
        <v>85</v>
      </c>
    </row>
    <row r="680" spans="1:11" ht="14.5" x14ac:dyDescent="0.35">
      <c r="A680" s="33">
        <v>45922</v>
      </c>
      <c r="B680" s="30" t="s">
        <v>14</v>
      </c>
      <c r="C680" s="31" t="str">
        <f>VLOOKUP(B680,'Kode Data'!$B$3:$C$23,2,0)</f>
        <v>Gandum Durum</v>
      </c>
      <c r="D680" s="30" t="str">
        <f>VLOOKUP(LEFT(B680,2),'Kode Data'!$E$3:$G$6,3,0)</f>
        <v>Bahan Baku</v>
      </c>
      <c r="E680" s="31" t="s">
        <v>79</v>
      </c>
      <c r="F680" s="30">
        <v>0</v>
      </c>
      <c r="G680" s="30">
        <v>240</v>
      </c>
      <c r="H680" s="30">
        <v>1730</v>
      </c>
      <c r="I680" s="30">
        <v>1490</v>
      </c>
      <c r="J680" s="30" t="s">
        <v>87</v>
      </c>
      <c r="K680" s="32" t="s">
        <v>104</v>
      </c>
    </row>
    <row r="681" spans="1:11" ht="14.5" x14ac:dyDescent="0.35">
      <c r="A681" s="29">
        <v>45923</v>
      </c>
      <c r="B681" s="30" t="s">
        <v>62</v>
      </c>
      <c r="C681" s="31" t="str">
        <f>VLOOKUP(B681,'Kode Data'!$B$3:$C$23,2,0)</f>
        <v>Tepung Terigu Serbaguna</v>
      </c>
      <c r="D681" s="30" t="str">
        <f>VLOOKUP(LEFT(B681,2),'Kode Data'!$E$3:$G$6,3,0)</f>
        <v>Produk</v>
      </c>
      <c r="E681" s="31" t="s">
        <v>79</v>
      </c>
      <c r="F681" s="30">
        <v>800</v>
      </c>
      <c r="G681" s="30">
        <v>0</v>
      </c>
      <c r="H681" s="30">
        <v>2300</v>
      </c>
      <c r="I681" s="30">
        <v>3100</v>
      </c>
      <c r="J681" s="30" t="s">
        <v>80</v>
      </c>
      <c r="K681" s="32" t="s">
        <v>81</v>
      </c>
    </row>
    <row r="682" spans="1:11" ht="14.5" x14ac:dyDescent="0.35">
      <c r="A682" s="29">
        <v>45923</v>
      </c>
      <c r="B682" s="30" t="s">
        <v>50</v>
      </c>
      <c r="C682" s="31" t="str">
        <f>VLOOKUP(B682,'Kode Data'!$B$3:$C$23,2,0)</f>
        <v>Plastik Kemasan 1 Kg</v>
      </c>
      <c r="D682" s="30" t="str">
        <f>VLOOKUP(LEFT(B682,2),'Kode Data'!$E$3:$G$6,3,0)</f>
        <v>Kemasan</v>
      </c>
      <c r="E682" s="31" t="s">
        <v>92</v>
      </c>
      <c r="F682" s="30">
        <v>0</v>
      </c>
      <c r="G682" s="30">
        <v>600</v>
      </c>
      <c r="H682" s="30">
        <v>11800</v>
      </c>
      <c r="I682" s="30">
        <v>11200</v>
      </c>
      <c r="J682" s="30" t="s">
        <v>80</v>
      </c>
      <c r="K682" s="32" t="s">
        <v>93</v>
      </c>
    </row>
    <row r="683" spans="1:11" ht="14.5" x14ac:dyDescent="0.35">
      <c r="A683" s="33">
        <v>45923</v>
      </c>
      <c r="B683" s="30" t="s">
        <v>58</v>
      </c>
      <c r="C683" s="31" t="str">
        <f>VLOOKUP(B683,'Kode Data'!$B$3:$C$23,2,0)</f>
        <v>Pallet Kayu</v>
      </c>
      <c r="D683" s="30" t="str">
        <f>VLOOKUP(LEFT(B683,2),'Kode Data'!$E$3:$G$6,3,0)</f>
        <v>Kemasan</v>
      </c>
      <c r="E683" s="31" t="s">
        <v>122</v>
      </c>
      <c r="F683" s="30">
        <v>0</v>
      </c>
      <c r="G683" s="30">
        <v>40</v>
      </c>
      <c r="H683" s="30">
        <v>330</v>
      </c>
      <c r="I683" s="30">
        <v>290</v>
      </c>
      <c r="J683" s="30" t="s">
        <v>80</v>
      </c>
      <c r="K683" s="32" t="s">
        <v>93</v>
      </c>
    </row>
    <row r="684" spans="1:11" ht="14.5" x14ac:dyDescent="0.35">
      <c r="A684" s="29">
        <v>45924</v>
      </c>
      <c r="B684" s="30" t="s">
        <v>46</v>
      </c>
      <c r="C684" s="31" t="str">
        <f>VLOOKUP(B684,'Kode Data'!$B$3:$C$23,2,0)</f>
        <v>Karung Kemasan 25 Kg</v>
      </c>
      <c r="D684" s="30" t="str">
        <f>VLOOKUP(LEFT(B684,2),'Kode Data'!$E$3:$G$6,3,0)</f>
        <v>Kemasan</v>
      </c>
      <c r="E684" s="31" t="s">
        <v>84</v>
      </c>
      <c r="F684" s="30">
        <v>0</v>
      </c>
      <c r="G684" s="30">
        <v>150</v>
      </c>
      <c r="H684" s="30">
        <v>3750</v>
      </c>
      <c r="I684" s="30">
        <v>3600</v>
      </c>
      <c r="J684" s="30" t="s">
        <v>80</v>
      </c>
      <c r="K684" s="32" t="s">
        <v>93</v>
      </c>
    </row>
    <row r="685" spans="1:11" ht="14.5" x14ac:dyDescent="0.35">
      <c r="A685" s="33">
        <v>45924</v>
      </c>
      <c r="B685" s="30" t="s">
        <v>54</v>
      </c>
      <c r="C685" s="31" t="str">
        <f>VLOOKUP(B685,'Kode Data'!$B$3:$C$23,2,0)</f>
        <v>Karton Box</v>
      </c>
      <c r="D685" s="30" t="str">
        <f>VLOOKUP(LEFT(B685,2),'Kode Data'!$E$3:$G$6,3,0)</f>
        <v>Kemasan</v>
      </c>
      <c r="E685" s="31" t="s">
        <v>114</v>
      </c>
      <c r="F685" s="30">
        <v>0</v>
      </c>
      <c r="G685" s="30">
        <v>500</v>
      </c>
      <c r="H685" s="30">
        <v>12250</v>
      </c>
      <c r="I685" s="30">
        <v>11750</v>
      </c>
      <c r="J685" s="30" t="s">
        <v>80</v>
      </c>
      <c r="K685" s="32" t="s">
        <v>93</v>
      </c>
    </row>
    <row r="686" spans="1:11" ht="14.5" x14ac:dyDescent="0.35">
      <c r="A686" s="33">
        <v>45924</v>
      </c>
      <c r="B686" s="30" t="s">
        <v>19</v>
      </c>
      <c r="C686" s="31" t="str">
        <f>VLOOKUP(B686,'Kode Data'!$B$3:$C$23,2,0)</f>
        <v>Bran Gandum</v>
      </c>
      <c r="D686" s="30" t="str">
        <f>VLOOKUP(LEFT(B686,2),'Kode Data'!$E$3:$G$6,3,0)</f>
        <v>Bahan Baku</v>
      </c>
      <c r="E686" s="31" t="s">
        <v>118</v>
      </c>
      <c r="F686" s="30">
        <v>0</v>
      </c>
      <c r="G686" s="30">
        <v>250</v>
      </c>
      <c r="H686" s="30">
        <v>2650</v>
      </c>
      <c r="I686" s="30">
        <v>2400</v>
      </c>
      <c r="J686" s="30" t="s">
        <v>87</v>
      </c>
      <c r="K686" s="32" t="s">
        <v>104</v>
      </c>
    </row>
    <row r="687" spans="1:11" ht="14.5" x14ac:dyDescent="0.35">
      <c r="A687" s="29">
        <v>45925</v>
      </c>
      <c r="B687" s="30" t="s">
        <v>60</v>
      </c>
      <c r="C687" s="31" t="str">
        <f>VLOOKUP(B687,'Kode Data'!$B$3:$C$23,2,0)</f>
        <v>Tepung Terigu Protein Tinggi</v>
      </c>
      <c r="D687" s="30" t="str">
        <f>VLOOKUP(LEFT(B687,2),'Kode Data'!$E$3:$G$6,3,0)</f>
        <v>Produk</v>
      </c>
      <c r="E687" s="31" t="s">
        <v>113</v>
      </c>
      <c r="F687" s="30">
        <v>0</v>
      </c>
      <c r="G687" s="30">
        <v>600</v>
      </c>
      <c r="H687" s="30">
        <v>2400</v>
      </c>
      <c r="I687" s="30">
        <v>1800</v>
      </c>
      <c r="J687" s="30" t="s">
        <v>80</v>
      </c>
      <c r="K687" s="32" t="s">
        <v>90</v>
      </c>
    </row>
    <row r="688" spans="1:11" ht="14.5" x14ac:dyDescent="0.35">
      <c r="A688" s="29">
        <v>45926</v>
      </c>
      <c r="B688" s="30" t="s">
        <v>46</v>
      </c>
      <c r="C688" s="31" t="str">
        <f>VLOOKUP(B688,'Kode Data'!$B$3:$C$23,2,0)</f>
        <v>Karung Kemasan 25 Kg</v>
      </c>
      <c r="D688" s="30" t="str">
        <f>VLOOKUP(LEFT(B688,2),'Kode Data'!$E$3:$G$6,3,0)</f>
        <v>Kemasan</v>
      </c>
      <c r="E688" s="31" t="s">
        <v>84</v>
      </c>
      <c r="F688" s="30">
        <v>500</v>
      </c>
      <c r="G688" s="30">
        <v>0</v>
      </c>
      <c r="H688" s="30">
        <v>3600</v>
      </c>
      <c r="I688" s="30">
        <v>4100</v>
      </c>
      <c r="J688" s="30" t="s">
        <v>80</v>
      </c>
      <c r="K688" s="32" t="s">
        <v>85</v>
      </c>
    </row>
    <row r="689" spans="1:11" ht="14.5" x14ac:dyDescent="0.35">
      <c r="A689" s="33">
        <v>45926</v>
      </c>
      <c r="B689" s="30" t="s">
        <v>56</v>
      </c>
      <c r="C689" s="31" t="str">
        <f>VLOOKUP(B689,'Kode Data'!$B$3:$C$23,2,0)</f>
        <v>Label Produk</v>
      </c>
      <c r="D689" s="30" t="str">
        <f>VLOOKUP(LEFT(B689,2),'Kode Data'!$E$3:$G$6,3,0)</f>
        <v>Kemasan</v>
      </c>
      <c r="E689" s="31" t="s">
        <v>120</v>
      </c>
      <c r="F689" s="30">
        <v>0</v>
      </c>
      <c r="G689" s="30">
        <v>350</v>
      </c>
      <c r="H689" s="30">
        <v>2400</v>
      </c>
      <c r="I689" s="30">
        <v>2050</v>
      </c>
      <c r="J689" s="30" t="s">
        <v>80</v>
      </c>
      <c r="K689" s="32" t="s">
        <v>93</v>
      </c>
    </row>
    <row r="690" spans="1:11" ht="14.5" x14ac:dyDescent="0.35">
      <c r="A690" s="33">
        <v>45927</v>
      </c>
      <c r="B690" s="30" t="s">
        <v>9</v>
      </c>
      <c r="C690" s="31" t="str">
        <f>VLOOKUP(B690,'Kode Data'!$B$3:$C$23,2,0)</f>
        <v>Gandum Soft Wheat</v>
      </c>
      <c r="D690" s="30" t="str">
        <f>VLOOKUP(LEFT(B690,2),'Kode Data'!$E$3:$G$6,3,0)</f>
        <v>Bahan Baku</v>
      </c>
      <c r="E690" s="31" t="s">
        <v>98</v>
      </c>
      <c r="F690" s="30">
        <v>0</v>
      </c>
      <c r="G690" s="30">
        <v>250</v>
      </c>
      <c r="H690" s="30">
        <v>2700</v>
      </c>
      <c r="I690" s="30">
        <v>2450</v>
      </c>
      <c r="J690" s="30" t="s">
        <v>87</v>
      </c>
      <c r="K690" s="32" t="s">
        <v>104</v>
      </c>
    </row>
    <row r="691" spans="1:11" ht="14.5" x14ac:dyDescent="0.35">
      <c r="A691" s="33">
        <v>45927</v>
      </c>
      <c r="B691" s="30" t="s">
        <v>24</v>
      </c>
      <c r="C691" s="31" t="str">
        <f>VLOOKUP(B691,'Kode Data'!$B$3:$C$23,2,0)</f>
        <v>Germ Gandum</v>
      </c>
      <c r="D691" s="30" t="str">
        <f>VLOOKUP(LEFT(B691,2),'Kode Data'!$E$3:$G$6,3,0)</f>
        <v>Bahan Baku</v>
      </c>
      <c r="E691" s="31" t="s">
        <v>98</v>
      </c>
      <c r="F691" s="30">
        <v>0</v>
      </c>
      <c r="G691" s="30">
        <v>200</v>
      </c>
      <c r="H691" s="30">
        <v>2210</v>
      </c>
      <c r="I691" s="30">
        <v>2010</v>
      </c>
      <c r="J691" s="30" t="s">
        <v>87</v>
      </c>
      <c r="K691" s="32" t="s">
        <v>104</v>
      </c>
    </row>
    <row r="692" spans="1:11" ht="14.5" x14ac:dyDescent="0.35">
      <c r="A692" s="29">
        <v>45929</v>
      </c>
      <c r="B692" s="30" t="s">
        <v>30</v>
      </c>
      <c r="C692" s="31" t="str">
        <f>VLOOKUP(B692,'Kode Data'!$B$3:$C$23,2,0)</f>
        <v>Vitamin Fortifikasi</v>
      </c>
      <c r="D692" s="30" t="str">
        <f>VLOOKUP(LEFT(B692,2),'Kode Data'!$E$3:$G$6,3,0)</f>
        <v>Bahan Tambahan</v>
      </c>
      <c r="E692" s="31" t="s">
        <v>119</v>
      </c>
      <c r="F692" s="30">
        <v>0</v>
      </c>
      <c r="G692" s="30">
        <v>95</v>
      </c>
      <c r="H692" s="30">
        <v>865</v>
      </c>
      <c r="I692" s="30">
        <v>770</v>
      </c>
      <c r="J692" s="30" t="s">
        <v>87</v>
      </c>
      <c r="K692" s="32" t="s">
        <v>104</v>
      </c>
    </row>
    <row r="693" spans="1:11" ht="14.5" x14ac:dyDescent="0.35">
      <c r="A693" s="29">
        <v>45929</v>
      </c>
      <c r="B693" s="30" t="s">
        <v>34</v>
      </c>
      <c r="C693" s="31" t="str">
        <f>VLOOKUP(B693,'Kode Data'!$B$3:$C$23,2,0)</f>
        <v>Tepung Premix</v>
      </c>
      <c r="D693" s="30" t="str">
        <f>VLOOKUP(LEFT(B693,2),'Kode Data'!$E$3:$G$6,3,0)</f>
        <v>Bahan Tambahan</v>
      </c>
      <c r="E693" s="31" t="s">
        <v>89</v>
      </c>
      <c r="F693" s="30">
        <v>0</v>
      </c>
      <c r="G693" s="30">
        <v>170</v>
      </c>
      <c r="H693" s="30">
        <v>1000</v>
      </c>
      <c r="I693" s="30">
        <v>830</v>
      </c>
      <c r="J693" s="30" t="s">
        <v>87</v>
      </c>
      <c r="K693" s="32" t="s">
        <v>104</v>
      </c>
    </row>
    <row r="694" spans="1:11" ht="14.5" x14ac:dyDescent="0.35">
      <c r="A694" s="29">
        <v>45929</v>
      </c>
      <c r="B694" s="30" t="s">
        <v>42</v>
      </c>
      <c r="C694" s="31" t="str">
        <f>VLOOKUP(B694,'Kode Data'!$B$3:$C$23,2,0)</f>
        <v>Calcium Propionate</v>
      </c>
      <c r="D694" s="30" t="str">
        <f>VLOOKUP(LEFT(B694,2),'Kode Data'!$E$3:$G$6,3,0)</f>
        <v>Bahan Tambahan</v>
      </c>
      <c r="E694" s="31" t="s">
        <v>111</v>
      </c>
      <c r="F694" s="30">
        <v>0</v>
      </c>
      <c r="G694" s="30">
        <v>30</v>
      </c>
      <c r="H694" s="30">
        <v>640</v>
      </c>
      <c r="I694" s="30">
        <v>610</v>
      </c>
      <c r="J694" s="30" t="s">
        <v>87</v>
      </c>
      <c r="K694" s="32" t="s">
        <v>104</v>
      </c>
    </row>
    <row r="695" spans="1:11" ht="14.5" x14ac:dyDescent="0.35">
      <c r="A695" s="33">
        <v>45929</v>
      </c>
      <c r="B695" s="30" t="s">
        <v>4</v>
      </c>
      <c r="C695" s="31" t="str">
        <f>VLOOKUP(B695,'Kode Data'!$B$3:$C$23,2,0)</f>
        <v>Gandum Hard Wheat</v>
      </c>
      <c r="D695" s="30" t="str">
        <f>VLOOKUP(LEFT(B695,2),'Kode Data'!$E$3:$G$6,3,0)</f>
        <v>Bahan Baku</v>
      </c>
      <c r="E695" s="31" t="s">
        <v>79</v>
      </c>
      <c r="F695" s="30">
        <v>600</v>
      </c>
      <c r="G695" s="30">
        <v>0</v>
      </c>
      <c r="H695" s="30">
        <v>3050</v>
      </c>
      <c r="I695" s="30">
        <v>3650</v>
      </c>
      <c r="J695" s="30" t="s">
        <v>87</v>
      </c>
      <c r="K695" s="32" t="s">
        <v>110</v>
      </c>
    </row>
    <row r="696" spans="1:11" ht="14.5" x14ac:dyDescent="0.35">
      <c r="A696" s="29">
        <v>45930</v>
      </c>
      <c r="B696" s="30" t="s">
        <v>26</v>
      </c>
      <c r="C696" s="31" t="str">
        <f>VLOOKUP(B696,'Kode Data'!$B$3:$C$23,2,0)</f>
        <v>Enzim Baking</v>
      </c>
      <c r="D696" s="30" t="str">
        <f>VLOOKUP(LEFT(B696,2),'Kode Data'!$E$3:$G$6,3,0)</f>
        <v>Bahan Tambahan</v>
      </c>
      <c r="E696" s="31" t="s">
        <v>115</v>
      </c>
      <c r="F696" s="30">
        <v>0</v>
      </c>
      <c r="G696" s="30">
        <v>120</v>
      </c>
      <c r="H696" s="30">
        <v>395</v>
      </c>
      <c r="I696" s="30">
        <v>275</v>
      </c>
      <c r="J696" s="30" t="s">
        <v>87</v>
      </c>
      <c r="K696" s="32" t="s">
        <v>104</v>
      </c>
    </row>
    <row r="697" spans="1:11" ht="14.5" x14ac:dyDescent="0.35">
      <c r="A697" s="29">
        <v>45930</v>
      </c>
      <c r="B697" s="30" t="s">
        <v>38</v>
      </c>
      <c r="C697" s="31" t="str">
        <f>VLOOKUP(B697,'Kode Data'!$B$3:$C$23,2,0)</f>
        <v>Improver Tepung</v>
      </c>
      <c r="D697" s="30" t="str">
        <f>VLOOKUP(LEFT(B697,2),'Kode Data'!$E$3:$G$6,3,0)</f>
        <v>Bahan Tambahan</v>
      </c>
      <c r="E697" s="31" t="s">
        <v>117</v>
      </c>
      <c r="F697" s="30">
        <v>0</v>
      </c>
      <c r="G697" s="30">
        <v>160</v>
      </c>
      <c r="H697" s="30">
        <v>570</v>
      </c>
      <c r="I697" s="30">
        <v>410</v>
      </c>
      <c r="J697" s="30" t="s">
        <v>87</v>
      </c>
      <c r="K697" s="32" t="s">
        <v>104</v>
      </c>
    </row>
    <row r="698" spans="1:11" ht="14.5" x14ac:dyDescent="0.35">
      <c r="A698" s="29">
        <v>45930</v>
      </c>
      <c r="B698" s="30" t="s">
        <v>62</v>
      </c>
      <c r="C698" s="31" t="str">
        <f>VLOOKUP(B698,'Kode Data'!$B$3:$C$23,2,0)</f>
        <v>Tepung Terigu Serbaguna</v>
      </c>
      <c r="D698" s="30" t="str">
        <f>VLOOKUP(LEFT(B698,2),'Kode Data'!$E$3:$G$6,3,0)</f>
        <v>Produk</v>
      </c>
      <c r="E698" s="31" t="s">
        <v>89</v>
      </c>
      <c r="F698" s="30">
        <v>0</v>
      </c>
      <c r="G698" s="30">
        <v>600</v>
      </c>
      <c r="H698" s="30">
        <v>3100</v>
      </c>
      <c r="I698" s="30">
        <v>2500</v>
      </c>
      <c r="J698" s="30" t="s">
        <v>80</v>
      </c>
      <c r="K698" s="32" t="s">
        <v>90</v>
      </c>
    </row>
    <row r="699" spans="1:11" ht="14.5" x14ac:dyDescent="0.35">
      <c r="A699" s="29">
        <v>45932</v>
      </c>
      <c r="B699" s="30" t="s">
        <v>60</v>
      </c>
      <c r="C699" s="31" t="str">
        <f>VLOOKUP(B699,'Kode Data'!$B$3:$C$23,2,0)</f>
        <v>Tepung Terigu Protein Tinggi</v>
      </c>
      <c r="D699" s="30" t="str">
        <f>VLOOKUP(LEFT(B699,2),'Kode Data'!$E$3:$G$6,3,0)</f>
        <v>Produk</v>
      </c>
      <c r="E699" s="31" t="s">
        <v>102</v>
      </c>
      <c r="F699" s="30">
        <v>800</v>
      </c>
      <c r="G699" s="30">
        <v>0</v>
      </c>
      <c r="H699" s="30">
        <v>1800</v>
      </c>
      <c r="I699" s="30">
        <v>2600</v>
      </c>
      <c r="J699" s="30" t="s">
        <v>80</v>
      </c>
      <c r="K699" s="32" t="s">
        <v>81</v>
      </c>
    </row>
    <row r="700" spans="1:11" ht="14.5" x14ac:dyDescent="0.35">
      <c r="A700" s="29">
        <v>45932</v>
      </c>
      <c r="B700" s="30" t="s">
        <v>62</v>
      </c>
      <c r="C700" s="31" t="str">
        <f>VLOOKUP(B700,'Kode Data'!$B$3:$C$23,2,0)</f>
        <v>Tepung Terigu Serbaguna</v>
      </c>
      <c r="D700" s="30" t="str">
        <f>VLOOKUP(LEFT(B700,2),'Kode Data'!$E$3:$G$6,3,0)</f>
        <v>Produk</v>
      </c>
      <c r="E700" s="31" t="s">
        <v>82</v>
      </c>
      <c r="F700" s="30">
        <v>900</v>
      </c>
      <c r="G700" s="30">
        <v>0</v>
      </c>
      <c r="H700" s="30">
        <v>2500</v>
      </c>
      <c r="I700" s="30">
        <v>3400</v>
      </c>
      <c r="J700" s="30" t="s">
        <v>80</v>
      </c>
      <c r="K700" s="32" t="s">
        <v>81</v>
      </c>
    </row>
    <row r="701" spans="1:11" ht="14.5" x14ac:dyDescent="0.35">
      <c r="A701" s="29">
        <v>45932</v>
      </c>
      <c r="B701" s="30" t="s">
        <v>66</v>
      </c>
      <c r="C701" s="31" t="str">
        <f>VLOOKUP(B701,'Kode Data'!$B$3:$C$23,2,0)</f>
        <v>Tepung Terigu Khusus Roti</v>
      </c>
      <c r="D701" s="30" t="str">
        <f>VLOOKUP(LEFT(B701,2),'Kode Data'!$E$3:$G$6,3,0)</f>
        <v>Produk</v>
      </c>
      <c r="E701" s="31" t="s">
        <v>89</v>
      </c>
      <c r="F701" s="30">
        <v>400</v>
      </c>
      <c r="G701" s="30">
        <v>0</v>
      </c>
      <c r="H701" s="30">
        <v>1700</v>
      </c>
      <c r="I701" s="30">
        <v>2100</v>
      </c>
      <c r="J701" s="30" t="s">
        <v>80</v>
      </c>
      <c r="K701" s="32" t="s">
        <v>81</v>
      </c>
    </row>
    <row r="702" spans="1:11" ht="14.5" x14ac:dyDescent="0.35">
      <c r="A702" s="33">
        <v>45932</v>
      </c>
      <c r="B702" s="30" t="s">
        <v>4</v>
      </c>
      <c r="C702" s="31" t="str">
        <f>VLOOKUP(B702,'Kode Data'!$B$3:$C$23,2,0)</f>
        <v>Gandum Hard Wheat</v>
      </c>
      <c r="D702" s="30" t="str">
        <f>VLOOKUP(LEFT(B702,2),'Kode Data'!$E$3:$G$6,3,0)</f>
        <v>Bahan Baku</v>
      </c>
      <c r="E702" s="31" t="s">
        <v>98</v>
      </c>
      <c r="F702" s="30">
        <v>0</v>
      </c>
      <c r="G702" s="30">
        <v>500</v>
      </c>
      <c r="H702" s="30">
        <v>3650</v>
      </c>
      <c r="I702" s="30">
        <v>3150</v>
      </c>
      <c r="J702" s="30" t="s">
        <v>87</v>
      </c>
      <c r="K702" s="32" t="s">
        <v>104</v>
      </c>
    </row>
    <row r="703" spans="1:11" ht="14.5" x14ac:dyDescent="0.35">
      <c r="A703" s="29">
        <v>45933</v>
      </c>
      <c r="B703" s="30" t="s">
        <v>26</v>
      </c>
      <c r="C703" s="31" t="str">
        <f>VLOOKUP(B703,'Kode Data'!$B$3:$C$23,2,0)</f>
        <v>Enzim Baking</v>
      </c>
      <c r="D703" s="30" t="str">
        <f>VLOOKUP(LEFT(B703,2),'Kode Data'!$E$3:$G$6,3,0)</f>
        <v>Bahan Tambahan</v>
      </c>
      <c r="E703" s="31" t="s">
        <v>100</v>
      </c>
      <c r="F703" s="30">
        <v>110</v>
      </c>
      <c r="G703" s="30">
        <v>0</v>
      </c>
      <c r="H703" s="30">
        <v>275</v>
      </c>
      <c r="I703" s="30">
        <v>385</v>
      </c>
      <c r="J703" s="30" t="s">
        <v>87</v>
      </c>
      <c r="K703" s="32" t="s">
        <v>96</v>
      </c>
    </row>
    <row r="704" spans="1:11" ht="14.5" x14ac:dyDescent="0.35">
      <c r="A704" s="29">
        <v>45933</v>
      </c>
      <c r="B704" s="30" t="s">
        <v>42</v>
      </c>
      <c r="C704" s="31" t="str">
        <f>VLOOKUP(B704,'Kode Data'!$B$3:$C$23,2,0)</f>
        <v>Calcium Propionate</v>
      </c>
      <c r="D704" s="30" t="str">
        <f>VLOOKUP(LEFT(B704,2),'Kode Data'!$E$3:$G$6,3,0)</f>
        <v>Bahan Tambahan</v>
      </c>
      <c r="E704" s="31" t="s">
        <v>121</v>
      </c>
      <c r="F704" s="30">
        <v>60</v>
      </c>
      <c r="G704" s="30">
        <v>0</v>
      </c>
      <c r="H704" s="30">
        <v>610</v>
      </c>
      <c r="I704" s="30">
        <v>670</v>
      </c>
      <c r="J704" s="30" t="s">
        <v>87</v>
      </c>
      <c r="K704" s="32" t="s">
        <v>116</v>
      </c>
    </row>
    <row r="705" spans="1:11" ht="14.5" x14ac:dyDescent="0.35">
      <c r="A705" s="33">
        <v>45933</v>
      </c>
      <c r="B705" s="30" t="s">
        <v>9</v>
      </c>
      <c r="C705" s="31" t="str">
        <f>VLOOKUP(B705,'Kode Data'!$B$3:$C$23,2,0)</f>
        <v>Gandum Soft Wheat</v>
      </c>
      <c r="D705" s="30" t="str">
        <f>VLOOKUP(LEFT(B705,2),'Kode Data'!$E$3:$G$6,3,0)</f>
        <v>Bahan Baku</v>
      </c>
      <c r="E705" s="31" t="s">
        <v>79</v>
      </c>
      <c r="F705" s="30">
        <v>450</v>
      </c>
      <c r="G705" s="30">
        <v>0</v>
      </c>
      <c r="H705" s="30">
        <v>2450</v>
      </c>
      <c r="I705" s="30">
        <v>2900</v>
      </c>
      <c r="J705" s="30" t="s">
        <v>87</v>
      </c>
      <c r="K705" s="32" t="s">
        <v>88</v>
      </c>
    </row>
    <row r="706" spans="1:11" ht="14.5" x14ac:dyDescent="0.35">
      <c r="A706" s="29">
        <v>45934</v>
      </c>
      <c r="B706" s="30" t="s">
        <v>34</v>
      </c>
      <c r="C706" s="31" t="str">
        <f>VLOOKUP(B706,'Kode Data'!$B$3:$C$23,2,0)</f>
        <v>Tepung Premix</v>
      </c>
      <c r="D706" s="30" t="str">
        <f>VLOOKUP(LEFT(B706,2),'Kode Data'!$E$3:$G$6,3,0)</f>
        <v>Bahan Tambahan</v>
      </c>
      <c r="E706" s="31" t="s">
        <v>82</v>
      </c>
      <c r="F706" s="30">
        <v>210</v>
      </c>
      <c r="G706" s="30">
        <v>0</v>
      </c>
      <c r="H706" s="30">
        <v>830</v>
      </c>
      <c r="I706" s="30">
        <v>1040</v>
      </c>
      <c r="J706" s="30" t="s">
        <v>87</v>
      </c>
      <c r="K706" s="32" t="s">
        <v>96</v>
      </c>
    </row>
    <row r="707" spans="1:11" ht="14.5" x14ac:dyDescent="0.35">
      <c r="A707" s="33">
        <v>45934</v>
      </c>
      <c r="B707" s="30" t="s">
        <v>56</v>
      </c>
      <c r="C707" s="31" t="str">
        <f>VLOOKUP(B707,'Kode Data'!$B$3:$C$23,2,0)</f>
        <v>Label Produk</v>
      </c>
      <c r="D707" s="30" t="str">
        <f>VLOOKUP(LEFT(B707,2),'Kode Data'!$E$3:$G$6,3,0)</f>
        <v>Kemasan</v>
      </c>
      <c r="E707" s="31" t="s">
        <v>124</v>
      </c>
      <c r="F707" s="30">
        <v>600</v>
      </c>
      <c r="G707" s="30">
        <v>0</v>
      </c>
      <c r="H707" s="30">
        <v>2050</v>
      </c>
      <c r="I707" s="30">
        <v>2650</v>
      </c>
      <c r="J707" s="30" t="s">
        <v>80</v>
      </c>
      <c r="K707" s="32" t="s">
        <v>85</v>
      </c>
    </row>
    <row r="708" spans="1:11" ht="14.5" x14ac:dyDescent="0.35">
      <c r="A708" s="33">
        <v>45934</v>
      </c>
      <c r="B708" s="30" t="s">
        <v>24</v>
      </c>
      <c r="C708" s="31" t="str">
        <f>VLOOKUP(B708,'Kode Data'!$B$3:$C$23,2,0)</f>
        <v>Germ Gandum</v>
      </c>
      <c r="D708" s="30" t="str">
        <f>VLOOKUP(LEFT(B708,2),'Kode Data'!$E$3:$G$6,3,0)</f>
        <v>Bahan Baku</v>
      </c>
      <c r="E708" s="31" t="s">
        <v>79</v>
      </c>
      <c r="F708" s="30">
        <v>310</v>
      </c>
      <c r="G708" s="30">
        <v>0</v>
      </c>
      <c r="H708" s="30">
        <v>2010</v>
      </c>
      <c r="I708" s="30">
        <v>2320</v>
      </c>
      <c r="J708" s="30" t="s">
        <v>87</v>
      </c>
      <c r="K708" s="32" t="s">
        <v>88</v>
      </c>
    </row>
    <row r="709" spans="1:11" ht="14.5" x14ac:dyDescent="0.35">
      <c r="A709" s="29">
        <v>45935</v>
      </c>
      <c r="B709" s="30" t="s">
        <v>38</v>
      </c>
      <c r="C709" s="31" t="str">
        <f>VLOOKUP(B709,'Kode Data'!$B$3:$C$23,2,0)</f>
        <v>Improver Tepung</v>
      </c>
      <c r="D709" s="30" t="str">
        <f>VLOOKUP(LEFT(B709,2),'Kode Data'!$E$3:$G$6,3,0)</f>
        <v>Bahan Tambahan</v>
      </c>
      <c r="E709" s="31" t="s">
        <v>95</v>
      </c>
      <c r="F709" s="30">
        <v>180</v>
      </c>
      <c r="G709" s="30">
        <v>0</v>
      </c>
      <c r="H709" s="30">
        <v>410</v>
      </c>
      <c r="I709" s="30">
        <v>590</v>
      </c>
      <c r="J709" s="30" t="s">
        <v>87</v>
      </c>
      <c r="K709" s="32" t="s">
        <v>96</v>
      </c>
    </row>
    <row r="710" spans="1:11" ht="14.5" x14ac:dyDescent="0.35">
      <c r="A710" s="33">
        <v>45935</v>
      </c>
      <c r="B710" s="30" t="s">
        <v>58</v>
      </c>
      <c r="C710" s="31" t="str">
        <f>VLOOKUP(B710,'Kode Data'!$B$3:$C$23,2,0)</f>
        <v>Pallet Kayu</v>
      </c>
      <c r="D710" s="30" t="str">
        <f>VLOOKUP(LEFT(B710,2),'Kode Data'!$E$3:$G$6,3,0)</f>
        <v>Kemasan</v>
      </c>
      <c r="E710" s="31" t="s">
        <v>94</v>
      </c>
      <c r="F710" s="30">
        <v>60</v>
      </c>
      <c r="G710" s="30">
        <v>0</v>
      </c>
      <c r="H710" s="30">
        <v>290</v>
      </c>
      <c r="I710" s="30">
        <v>350</v>
      </c>
      <c r="J710" s="30" t="s">
        <v>80</v>
      </c>
      <c r="K710" s="32" t="s">
        <v>85</v>
      </c>
    </row>
    <row r="711" spans="1:11" ht="14.5" x14ac:dyDescent="0.35">
      <c r="A711" s="29">
        <v>45936</v>
      </c>
      <c r="B711" s="30" t="s">
        <v>30</v>
      </c>
      <c r="C711" s="31" t="str">
        <f>VLOOKUP(B711,'Kode Data'!$B$3:$C$23,2,0)</f>
        <v>Vitamin Fortifikasi</v>
      </c>
      <c r="D711" s="30" t="str">
        <f>VLOOKUP(LEFT(B711,2),'Kode Data'!$E$3:$G$6,3,0)</f>
        <v>Bahan Tambahan</v>
      </c>
      <c r="E711" s="31" t="s">
        <v>101</v>
      </c>
      <c r="F711" s="30">
        <v>140</v>
      </c>
      <c r="G711" s="30">
        <v>0</v>
      </c>
      <c r="H711" s="30">
        <v>770</v>
      </c>
      <c r="I711" s="30">
        <v>910</v>
      </c>
      <c r="J711" s="30" t="s">
        <v>87</v>
      </c>
      <c r="K711" s="32" t="s">
        <v>96</v>
      </c>
    </row>
    <row r="712" spans="1:11" ht="14.5" x14ac:dyDescent="0.35">
      <c r="A712" s="33">
        <v>45936</v>
      </c>
      <c r="B712" s="30" t="s">
        <v>52</v>
      </c>
      <c r="C712" s="31" t="str">
        <f>VLOOKUP(B712,'Kode Data'!$B$3:$C$23,2,0)</f>
        <v>Plastik Kemasan 500 gr</v>
      </c>
      <c r="D712" s="30" t="str">
        <f>VLOOKUP(LEFT(B712,2),'Kode Data'!$E$3:$G$6,3,0)</f>
        <v>Kemasan</v>
      </c>
      <c r="E712" s="31" t="s">
        <v>86</v>
      </c>
      <c r="F712" s="30">
        <v>800</v>
      </c>
      <c r="G712" s="30">
        <v>0</v>
      </c>
      <c r="H712" s="30">
        <v>8300</v>
      </c>
      <c r="I712" s="30">
        <v>9100</v>
      </c>
      <c r="J712" s="30" t="s">
        <v>80</v>
      </c>
      <c r="K712" s="32" t="s">
        <v>85</v>
      </c>
    </row>
    <row r="713" spans="1:11" ht="14.5" x14ac:dyDescent="0.35">
      <c r="A713" s="33">
        <v>45936</v>
      </c>
      <c r="B713" s="30" t="s">
        <v>54</v>
      </c>
      <c r="C713" s="31" t="str">
        <f>VLOOKUP(B713,'Kode Data'!$B$3:$C$23,2,0)</f>
        <v>Karton Box</v>
      </c>
      <c r="D713" s="30" t="str">
        <f>VLOOKUP(LEFT(B713,2),'Kode Data'!$E$3:$G$6,3,0)</f>
        <v>Kemasan</v>
      </c>
      <c r="E713" s="31" t="s">
        <v>97</v>
      </c>
      <c r="F713" s="30">
        <v>1000</v>
      </c>
      <c r="G713" s="30">
        <v>0</v>
      </c>
      <c r="H713" s="30">
        <v>11750</v>
      </c>
      <c r="I713" s="30">
        <v>12750</v>
      </c>
      <c r="J713" s="30" t="s">
        <v>80</v>
      </c>
      <c r="K713" s="32" t="s">
        <v>85</v>
      </c>
    </row>
    <row r="714" spans="1:11" ht="14.5" x14ac:dyDescent="0.35">
      <c r="A714" s="33">
        <v>45936</v>
      </c>
      <c r="B714" s="30" t="s">
        <v>19</v>
      </c>
      <c r="C714" s="31" t="str">
        <f>VLOOKUP(B714,'Kode Data'!$B$3:$C$23,2,0)</f>
        <v>Bran Gandum</v>
      </c>
      <c r="D714" s="30" t="str">
        <f>VLOOKUP(LEFT(B714,2),'Kode Data'!$E$3:$G$6,3,0)</f>
        <v>Bahan Baku</v>
      </c>
      <c r="E714" s="31" t="s">
        <v>79</v>
      </c>
      <c r="F714" s="30">
        <v>450</v>
      </c>
      <c r="G714" s="30">
        <v>0</v>
      </c>
      <c r="H714" s="30">
        <v>2400</v>
      </c>
      <c r="I714" s="30">
        <v>2850</v>
      </c>
      <c r="J714" s="30" t="s">
        <v>87</v>
      </c>
      <c r="K714" s="32" t="s">
        <v>88</v>
      </c>
    </row>
    <row r="715" spans="1:11" ht="14.5" x14ac:dyDescent="0.35">
      <c r="A715" s="33">
        <v>45937</v>
      </c>
      <c r="B715" s="30" t="s">
        <v>14</v>
      </c>
      <c r="C715" s="31" t="str">
        <f>VLOOKUP(B715,'Kode Data'!$B$3:$C$23,2,0)</f>
        <v>Gandum Durum</v>
      </c>
      <c r="D715" s="30" t="str">
        <f>VLOOKUP(LEFT(B715,2),'Kode Data'!$E$3:$G$6,3,0)</f>
        <v>Bahan Baku</v>
      </c>
      <c r="E715" s="31" t="s">
        <v>89</v>
      </c>
      <c r="F715" s="30">
        <v>320</v>
      </c>
      <c r="G715" s="30">
        <v>0</v>
      </c>
      <c r="H715" s="30">
        <v>1490</v>
      </c>
      <c r="I715" s="30">
        <v>1810</v>
      </c>
      <c r="J715" s="30" t="s">
        <v>87</v>
      </c>
      <c r="K715" s="32" t="s">
        <v>88</v>
      </c>
    </row>
    <row r="716" spans="1:11" ht="14.5" x14ac:dyDescent="0.35">
      <c r="A716" s="29">
        <v>45939</v>
      </c>
      <c r="B716" s="30" t="s">
        <v>60</v>
      </c>
      <c r="C716" s="31" t="str">
        <f>VLOOKUP(B716,'Kode Data'!$B$3:$C$23,2,0)</f>
        <v>Tepung Terigu Protein Tinggi</v>
      </c>
      <c r="D716" s="30" t="str">
        <f>VLOOKUP(LEFT(B716,2),'Kode Data'!$E$3:$G$6,3,0)</f>
        <v>Produk</v>
      </c>
      <c r="E716" s="31" t="s">
        <v>108</v>
      </c>
      <c r="F716" s="30">
        <v>0</v>
      </c>
      <c r="G716" s="30">
        <v>700</v>
      </c>
      <c r="H716" s="30">
        <v>2600</v>
      </c>
      <c r="I716" s="30">
        <v>1900</v>
      </c>
      <c r="J716" s="30" t="s">
        <v>80</v>
      </c>
      <c r="K716" s="32" t="s">
        <v>90</v>
      </c>
    </row>
    <row r="717" spans="1:11" ht="14.5" x14ac:dyDescent="0.35">
      <c r="A717" s="29">
        <v>45940</v>
      </c>
      <c r="B717" s="30" t="s">
        <v>42</v>
      </c>
      <c r="C717" s="31" t="str">
        <f>VLOOKUP(B717,'Kode Data'!$B$3:$C$23,2,0)</f>
        <v>Calcium Propionate</v>
      </c>
      <c r="D717" s="30" t="str">
        <f>VLOOKUP(LEFT(B717,2),'Kode Data'!$E$3:$G$6,3,0)</f>
        <v>Bahan Tambahan</v>
      </c>
      <c r="E717" s="31" t="s">
        <v>95</v>
      </c>
      <c r="F717" s="30">
        <v>0</v>
      </c>
      <c r="G717" s="30">
        <v>35</v>
      </c>
      <c r="H717" s="30">
        <v>670</v>
      </c>
      <c r="I717" s="30">
        <v>635</v>
      </c>
      <c r="J717" s="30" t="s">
        <v>87</v>
      </c>
      <c r="K717" s="32" t="s">
        <v>104</v>
      </c>
    </row>
    <row r="718" spans="1:11" ht="14.5" x14ac:dyDescent="0.35">
      <c r="A718" s="33">
        <v>45940</v>
      </c>
      <c r="B718" s="30" t="s">
        <v>4</v>
      </c>
      <c r="C718" s="31" t="str">
        <f>VLOOKUP(B718,'Kode Data'!$B$3:$C$23,2,0)</f>
        <v>Gandum Hard Wheat</v>
      </c>
      <c r="D718" s="30" t="str">
        <f>VLOOKUP(LEFT(B718,2),'Kode Data'!$E$3:$G$6,3,0)</f>
        <v>Bahan Baku</v>
      </c>
      <c r="E718" s="31" t="s">
        <v>89</v>
      </c>
      <c r="F718" s="30">
        <v>500</v>
      </c>
      <c r="G718" s="30">
        <v>0</v>
      </c>
      <c r="H718" s="30">
        <v>3150</v>
      </c>
      <c r="I718" s="30">
        <v>3650</v>
      </c>
      <c r="J718" s="30" t="s">
        <v>87</v>
      </c>
      <c r="K718" s="32" t="s">
        <v>88</v>
      </c>
    </row>
    <row r="719" spans="1:11" ht="14.5" x14ac:dyDescent="0.35">
      <c r="A719" s="29">
        <v>45941</v>
      </c>
      <c r="B719" s="30" t="s">
        <v>26</v>
      </c>
      <c r="C719" s="31" t="str">
        <f>VLOOKUP(B719,'Kode Data'!$B$3:$C$23,2,0)</f>
        <v>Enzim Baking</v>
      </c>
      <c r="D719" s="30" t="str">
        <f>VLOOKUP(LEFT(B719,2),'Kode Data'!$E$3:$G$6,3,0)</f>
        <v>Bahan Tambahan</v>
      </c>
      <c r="E719" s="31" t="s">
        <v>106</v>
      </c>
      <c r="F719" s="30">
        <v>0</v>
      </c>
      <c r="G719" s="30">
        <v>90</v>
      </c>
      <c r="H719" s="30">
        <v>385</v>
      </c>
      <c r="I719" s="30">
        <v>295</v>
      </c>
      <c r="J719" s="30" t="s">
        <v>87</v>
      </c>
      <c r="K719" s="32" t="s">
        <v>104</v>
      </c>
    </row>
    <row r="720" spans="1:11" ht="14.5" x14ac:dyDescent="0.35">
      <c r="A720" s="29">
        <v>45941</v>
      </c>
      <c r="B720" s="30" t="s">
        <v>62</v>
      </c>
      <c r="C720" s="31" t="str">
        <f>VLOOKUP(B720,'Kode Data'!$B$3:$C$23,2,0)</f>
        <v>Tepung Terigu Serbaguna</v>
      </c>
      <c r="D720" s="30" t="str">
        <f>VLOOKUP(LEFT(B720,2),'Kode Data'!$E$3:$G$6,3,0)</f>
        <v>Produk</v>
      </c>
      <c r="E720" s="31" t="s">
        <v>79</v>
      </c>
      <c r="F720" s="30">
        <v>0</v>
      </c>
      <c r="G720" s="30">
        <v>800</v>
      </c>
      <c r="H720" s="30">
        <v>3400</v>
      </c>
      <c r="I720" s="30">
        <v>2600</v>
      </c>
      <c r="J720" s="30" t="s">
        <v>80</v>
      </c>
      <c r="K720" s="32" t="s">
        <v>90</v>
      </c>
    </row>
    <row r="721" spans="1:11" ht="14.5" x14ac:dyDescent="0.35">
      <c r="A721" s="33">
        <v>45941</v>
      </c>
      <c r="B721" s="30" t="s">
        <v>9</v>
      </c>
      <c r="C721" s="31" t="str">
        <f>VLOOKUP(B721,'Kode Data'!$B$3:$C$23,2,0)</f>
        <v>Gandum Soft Wheat</v>
      </c>
      <c r="D721" s="30" t="str">
        <f>VLOOKUP(LEFT(B721,2),'Kode Data'!$E$3:$G$6,3,0)</f>
        <v>Bahan Baku</v>
      </c>
      <c r="E721" s="31" t="s">
        <v>89</v>
      </c>
      <c r="F721" s="30">
        <v>0</v>
      </c>
      <c r="G721" s="30">
        <v>350</v>
      </c>
      <c r="H721" s="30">
        <v>2900</v>
      </c>
      <c r="I721" s="30">
        <v>2550</v>
      </c>
      <c r="J721" s="30" t="s">
        <v>87</v>
      </c>
      <c r="K721" s="32" t="s">
        <v>104</v>
      </c>
    </row>
    <row r="722" spans="1:11" ht="14.5" x14ac:dyDescent="0.35">
      <c r="A722" s="33">
        <v>45941</v>
      </c>
      <c r="B722" s="30" t="s">
        <v>24</v>
      </c>
      <c r="C722" s="31" t="str">
        <f>VLOOKUP(B722,'Kode Data'!$B$3:$C$23,2,0)</f>
        <v>Germ Gandum</v>
      </c>
      <c r="D722" s="30" t="str">
        <f>VLOOKUP(LEFT(B722,2),'Kode Data'!$E$3:$G$6,3,0)</f>
        <v>Bahan Baku</v>
      </c>
      <c r="E722" s="31" t="s">
        <v>79</v>
      </c>
      <c r="F722" s="30">
        <v>0</v>
      </c>
      <c r="G722" s="30">
        <v>230</v>
      </c>
      <c r="H722" s="30">
        <v>2320</v>
      </c>
      <c r="I722" s="30">
        <v>2090</v>
      </c>
      <c r="J722" s="30" t="s">
        <v>87</v>
      </c>
      <c r="K722" s="32" t="s">
        <v>104</v>
      </c>
    </row>
    <row r="723" spans="1:11" ht="14.5" x14ac:dyDescent="0.35">
      <c r="A723" s="29">
        <v>45942</v>
      </c>
      <c r="B723" s="30" t="s">
        <v>34</v>
      </c>
      <c r="C723" s="31" t="str">
        <f>VLOOKUP(B723,'Kode Data'!$B$3:$C$23,2,0)</f>
        <v>Tepung Premix</v>
      </c>
      <c r="D723" s="30" t="str">
        <f>VLOOKUP(LEFT(B723,2),'Kode Data'!$E$3:$G$6,3,0)</f>
        <v>Bahan Tambahan</v>
      </c>
      <c r="E723" s="31" t="s">
        <v>79</v>
      </c>
      <c r="F723" s="30">
        <v>0</v>
      </c>
      <c r="G723" s="30">
        <v>200</v>
      </c>
      <c r="H723" s="30">
        <v>1040</v>
      </c>
      <c r="I723" s="30">
        <v>840</v>
      </c>
      <c r="J723" s="30" t="s">
        <v>87</v>
      </c>
      <c r="K723" s="32" t="s">
        <v>104</v>
      </c>
    </row>
    <row r="724" spans="1:11" ht="14.5" x14ac:dyDescent="0.35">
      <c r="A724" s="33">
        <v>45942</v>
      </c>
      <c r="B724" s="30" t="s">
        <v>58</v>
      </c>
      <c r="C724" s="31" t="str">
        <f>VLOOKUP(B724,'Kode Data'!$B$3:$C$23,2,0)</f>
        <v>Pallet Kayu</v>
      </c>
      <c r="D724" s="30" t="str">
        <f>VLOOKUP(LEFT(B724,2),'Kode Data'!$E$3:$G$6,3,0)</f>
        <v>Kemasan</v>
      </c>
      <c r="E724" s="31" t="s">
        <v>122</v>
      </c>
      <c r="F724" s="30">
        <v>0</v>
      </c>
      <c r="G724" s="30">
        <v>50</v>
      </c>
      <c r="H724" s="30">
        <v>350</v>
      </c>
      <c r="I724" s="30">
        <v>300</v>
      </c>
      <c r="J724" s="30" t="s">
        <v>80</v>
      </c>
      <c r="K724" s="32" t="s">
        <v>93</v>
      </c>
    </row>
    <row r="725" spans="1:11" ht="14.5" x14ac:dyDescent="0.35">
      <c r="A725" s="29">
        <v>45943</v>
      </c>
      <c r="B725" s="30" t="s">
        <v>38</v>
      </c>
      <c r="C725" s="31" t="str">
        <f>VLOOKUP(B725,'Kode Data'!$B$3:$C$23,2,0)</f>
        <v>Improver Tepung</v>
      </c>
      <c r="D725" s="30" t="str">
        <f>VLOOKUP(LEFT(B725,2),'Kode Data'!$E$3:$G$6,3,0)</f>
        <v>Bahan Tambahan</v>
      </c>
      <c r="E725" s="31" t="s">
        <v>107</v>
      </c>
      <c r="F725" s="30">
        <v>0</v>
      </c>
      <c r="G725" s="30">
        <v>170</v>
      </c>
      <c r="H725" s="30">
        <v>590</v>
      </c>
      <c r="I725" s="30">
        <v>420</v>
      </c>
      <c r="J725" s="30" t="s">
        <v>87</v>
      </c>
      <c r="K725" s="32" t="s">
        <v>104</v>
      </c>
    </row>
    <row r="726" spans="1:11" ht="14.5" x14ac:dyDescent="0.35">
      <c r="A726" s="33">
        <v>45943</v>
      </c>
      <c r="B726" s="30" t="s">
        <v>56</v>
      </c>
      <c r="C726" s="31" t="str">
        <f>VLOOKUP(B726,'Kode Data'!$B$3:$C$23,2,0)</f>
        <v>Label Produk</v>
      </c>
      <c r="D726" s="30" t="str">
        <f>VLOOKUP(LEFT(B726,2),'Kode Data'!$E$3:$G$6,3,0)</f>
        <v>Kemasan</v>
      </c>
      <c r="E726" s="31" t="s">
        <v>124</v>
      </c>
      <c r="F726" s="30">
        <v>0</v>
      </c>
      <c r="G726" s="30">
        <v>500</v>
      </c>
      <c r="H726" s="30">
        <v>2650</v>
      </c>
      <c r="I726" s="30">
        <v>2150</v>
      </c>
      <c r="J726" s="30" t="s">
        <v>80</v>
      </c>
      <c r="K726" s="32" t="s">
        <v>93</v>
      </c>
    </row>
    <row r="727" spans="1:11" ht="14.5" x14ac:dyDescent="0.35">
      <c r="A727" s="33">
        <v>45943</v>
      </c>
      <c r="B727" s="30" t="s">
        <v>19</v>
      </c>
      <c r="C727" s="31" t="str">
        <f>VLOOKUP(B727,'Kode Data'!$B$3:$C$23,2,0)</f>
        <v>Bran Gandum</v>
      </c>
      <c r="D727" s="30" t="str">
        <f>VLOOKUP(LEFT(B727,2),'Kode Data'!$E$3:$G$6,3,0)</f>
        <v>Bahan Baku</v>
      </c>
      <c r="E727" s="31" t="s">
        <v>98</v>
      </c>
      <c r="F727" s="30">
        <v>0</v>
      </c>
      <c r="G727" s="30">
        <v>350</v>
      </c>
      <c r="H727" s="30">
        <v>2850</v>
      </c>
      <c r="I727" s="30">
        <v>2500</v>
      </c>
      <c r="J727" s="30" t="s">
        <v>87</v>
      </c>
      <c r="K727" s="32" t="s">
        <v>104</v>
      </c>
    </row>
    <row r="728" spans="1:11" ht="14.5" x14ac:dyDescent="0.35">
      <c r="A728" s="29">
        <v>45944</v>
      </c>
      <c r="B728" s="30" t="s">
        <v>30</v>
      </c>
      <c r="C728" s="31" t="str">
        <f>VLOOKUP(B728,'Kode Data'!$B$3:$C$23,2,0)</f>
        <v>Vitamin Fortifikasi</v>
      </c>
      <c r="D728" s="30" t="str">
        <f>VLOOKUP(LEFT(B728,2),'Kode Data'!$E$3:$G$6,3,0)</f>
        <v>Bahan Tambahan</v>
      </c>
      <c r="E728" s="31" t="s">
        <v>112</v>
      </c>
      <c r="F728" s="30">
        <v>0</v>
      </c>
      <c r="G728" s="30">
        <v>110</v>
      </c>
      <c r="H728" s="30">
        <v>910</v>
      </c>
      <c r="I728" s="30">
        <v>800</v>
      </c>
      <c r="J728" s="30" t="s">
        <v>87</v>
      </c>
      <c r="K728" s="32" t="s">
        <v>104</v>
      </c>
    </row>
    <row r="729" spans="1:11" ht="14.5" x14ac:dyDescent="0.35">
      <c r="A729" s="33">
        <v>45944</v>
      </c>
      <c r="B729" s="30" t="s">
        <v>54</v>
      </c>
      <c r="C729" s="31" t="str">
        <f>VLOOKUP(B729,'Kode Data'!$B$3:$C$23,2,0)</f>
        <v>Karton Box</v>
      </c>
      <c r="D729" s="30" t="str">
        <f>VLOOKUP(LEFT(B729,2),'Kode Data'!$E$3:$G$6,3,0)</f>
        <v>Kemasan</v>
      </c>
      <c r="E729" s="31" t="s">
        <v>109</v>
      </c>
      <c r="F729" s="30">
        <v>0</v>
      </c>
      <c r="G729" s="30">
        <v>500</v>
      </c>
      <c r="H729" s="30">
        <v>12750</v>
      </c>
      <c r="I729" s="30">
        <v>12250</v>
      </c>
      <c r="J729" s="30" t="s">
        <v>80</v>
      </c>
      <c r="K729" s="32" t="s">
        <v>93</v>
      </c>
    </row>
    <row r="730" spans="1:11" ht="14.5" x14ac:dyDescent="0.35">
      <c r="A730" s="33">
        <v>45945</v>
      </c>
      <c r="B730" s="30" t="s">
        <v>14</v>
      </c>
      <c r="C730" s="31" t="str">
        <f>VLOOKUP(B730,'Kode Data'!$B$3:$C$23,2,0)</f>
        <v>Gandum Durum</v>
      </c>
      <c r="D730" s="30" t="str">
        <f>VLOOKUP(LEFT(B730,2),'Kode Data'!$E$3:$G$6,3,0)</f>
        <v>Bahan Baku</v>
      </c>
      <c r="E730" s="31" t="s">
        <v>98</v>
      </c>
      <c r="F730" s="30">
        <v>0</v>
      </c>
      <c r="G730" s="30">
        <v>300</v>
      </c>
      <c r="H730" s="30">
        <v>1810</v>
      </c>
      <c r="I730" s="30">
        <v>1510</v>
      </c>
      <c r="J730" s="30" t="s">
        <v>87</v>
      </c>
      <c r="K730" s="32" t="s">
        <v>104</v>
      </c>
    </row>
    <row r="731" spans="1:11" ht="14.5" x14ac:dyDescent="0.35">
      <c r="A731" s="29">
        <v>45946</v>
      </c>
      <c r="B731" s="30" t="s">
        <v>60</v>
      </c>
      <c r="C731" s="31" t="str">
        <f>VLOOKUP(B731,'Kode Data'!$B$3:$C$23,2,0)</f>
        <v>Tepung Terigu Protein Tinggi</v>
      </c>
      <c r="D731" s="30" t="str">
        <f>VLOOKUP(LEFT(B731,2),'Kode Data'!$E$3:$G$6,3,0)</f>
        <v>Produk</v>
      </c>
      <c r="E731" s="31" t="s">
        <v>113</v>
      </c>
      <c r="F731" s="30">
        <v>600</v>
      </c>
      <c r="G731" s="30">
        <v>0</v>
      </c>
      <c r="H731" s="30">
        <v>1900</v>
      </c>
      <c r="I731" s="30">
        <v>2500</v>
      </c>
      <c r="J731" s="30" t="s">
        <v>80</v>
      </c>
      <c r="K731" s="32" t="s">
        <v>81</v>
      </c>
    </row>
    <row r="732" spans="1:11" ht="14.5" x14ac:dyDescent="0.35">
      <c r="A732" s="33">
        <v>45947</v>
      </c>
      <c r="B732" s="30" t="s">
        <v>4</v>
      </c>
      <c r="C732" s="31" t="str">
        <f>VLOOKUP(B732,'Kode Data'!$B$3:$C$23,2,0)</f>
        <v>Gandum Hard Wheat</v>
      </c>
      <c r="D732" s="30" t="str">
        <f>VLOOKUP(LEFT(B732,2),'Kode Data'!$E$3:$G$6,3,0)</f>
        <v>Bahan Baku</v>
      </c>
      <c r="E732" s="31" t="s">
        <v>79</v>
      </c>
      <c r="F732" s="30">
        <v>0</v>
      </c>
      <c r="G732" s="30">
        <v>450</v>
      </c>
      <c r="H732" s="30">
        <v>3650</v>
      </c>
      <c r="I732" s="30">
        <v>3200</v>
      </c>
      <c r="J732" s="30" t="s">
        <v>87</v>
      </c>
      <c r="K732" s="32" t="s">
        <v>104</v>
      </c>
    </row>
    <row r="733" spans="1:11" ht="14.5" x14ac:dyDescent="0.35">
      <c r="A733" s="29">
        <v>45948</v>
      </c>
      <c r="B733" s="30" t="s">
        <v>42</v>
      </c>
      <c r="C733" s="31" t="str">
        <f>VLOOKUP(B733,'Kode Data'!$B$3:$C$23,2,0)</f>
        <v>Calcium Propionate</v>
      </c>
      <c r="D733" s="30" t="str">
        <f>VLOOKUP(LEFT(B733,2),'Kode Data'!$E$3:$G$6,3,0)</f>
        <v>Bahan Tambahan</v>
      </c>
      <c r="E733" s="31" t="s">
        <v>111</v>
      </c>
      <c r="F733" s="30">
        <v>55</v>
      </c>
      <c r="G733" s="30">
        <v>0</v>
      </c>
      <c r="H733" s="30">
        <v>635</v>
      </c>
      <c r="I733" s="30">
        <v>690</v>
      </c>
      <c r="J733" s="30" t="s">
        <v>87</v>
      </c>
      <c r="K733" s="32" t="s">
        <v>116</v>
      </c>
    </row>
    <row r="734" spans="1:11" ht="14.5" x14ac:dyDescent="0.35">
      <c r="A734" s="29">
        <v>45949</v>
      </c>
      <c r="B734" s="30" t="s">
        <v>26</v>
      </c>
      <c r="C734" s="31" t="str">
        <f>VLOOKUP(B734,'Kode Data'!$B$3:$C$23,2,0)</f>
        <v>Enzim Baking</v>
      </c>
      <c r="D734" s="30" t="str">
        <f>VLOOKUP(LEFT(B734,2),'Kode Data'!$E$3:$G$6,3,0)</f>
        <v>Bahan Tambahan</v>
      </c>
      <c r="E734" s="31" t="s">
        <v>115</v>
      </c>
      <c r="F734" s="30">
        <v>95</v>
      </c>
      <c r="G734" s="30">
        <v>0</v>
      </c>
      <c r="H734" s="30">
        <v>295</v>
      </c>
      <c r="I734" s="30">
        <v>390</v>
      </c>
      <c r="J734" s="30" t="s">
        <v>87</v>
      </c>
      <c r="K734" s="32" t="s">
        <v>116</v>
      </c>
    </row>
    <row r="735" spans="1:11" ht="14.5" x14ac:dyDescent="0.35">
      <c r="A735" s="29">
        <v>45949</v>
      </c>
      <c r="B735" s="30" t="s">
        <v>62</v>
      </c>
      <c r="C735" s="31" t="str">
        <f>VLOOKUP(B735,'Kode Data'!$B$3:$C$23,2,0)</f>
        <v>Tepung Terigu Serbaguna</v>
      </c>
      <c r="D735" s="30" t="str">
        <f>VLOOKUP(LEFT(B735,2),'Kode Data'!$E$3:$G$6,3,0)</f>
        <v>Produk</v>
      </c>
      <c r="E735" s="31" t="s">
        <v>89</v>
      </c>
      <c r="F735" s="30">
        <v>1000</v>
      </c>
      <c r="G735" s="30">
        <v>0</v>
      </c>
      <c r="H735" s="30">
        <v>2600</v>
      </c>
      <c r="I735" s="30">
        <v>3600</v>
      </c>
      <c r="J735" s="30" t="s">
        <v>80</v>
      </c>
      <c r="K735" s="32" t="s">
        <v>81</v>
      </c>
    </row>
    <row r="736" spans="1:11" ht="14.5" x14ac:dyDescent="0.35">
      <c r="A736" s="29">
        <v>45949</v>
      </c>
      <c r="B736" s="30" t="s">
        <v>68</v>
      </c>
      <c r="C736" s="31" t="str">
        <f>VLOOKUP(B736,'Kode Data'!$B$3:$C$23,2,0)</f>
        <v>Tepung Terigu Khusus Kue</v>
      </c>
      <c r="D736" s="30" t="str">
        <f>VLOOKUP(LEFT(B736,2),'Kode Data'!$E$3:$G$6,3,0)</f>
        <v>Produk</v>
      </c>
      <c r="E736" s="31" t="s">
        <v>91</v>
      </c>
      <c r="F736" s="30">
        <v>0</v>
      </c>
      <c r="G736" s="30">
        <v>450</v>
      </c>
      <c r="H736" s="30">
        <v>3400</v>
      </c>
      <c r="I736" s="30">
        <v>2950</v>
      </c>
      <c r="J736" s="30" t="s">
        <v>80</v>
      </c>
      <c r="K736" s="32" t="s">
        <v>90</v>
      </c>
    </row>
    <row r="737" spans="1:11" ht="14.5" x14ac:dyDescent="0.35">
      <c r="A737" s="33">
        <v>45949</v>
      </c>
      <c r="B737" s="30" t="s">
        <v>58</v>
      </c>
      <c r="C737" s="31" t="str">
        <f>VLOOKUP(B737,'Kode Data'!$B$3:$C$23,2,0)</f>
        <v>Pallet Kayu</v>
      </c>
      <c r="D737" s="30" t="str">
        <f>VLOOKUP(LEFT(B737,2),'Kode Data'!$E$3:$G$6,3,0)</f>
        <v>Kemasan</v>
      </c>
      <c r="E737" s="31" t="s">
        <v>105</v>
      </c>
      <c r="F737" s="30">
        <v>40</v>
      </c>
      <c r="G737" s="30">
        <v>0</v>
      </c>
      <c r="H737" s="30">
        <v>300</v>
      </c>
      <c r="I737" s="30">
        <v>340</v>
      </c>
      <c r="J737" s="30" t="s">
        <v>80</v>
      </c>
      <c r="K737" s="32" t="s">
        <v>85</v>
      </c>
    </row>
    <row r="738" spans="1:11" ht="14.5" x14ac:dyDescent="0.35">
      <c r="A738" s="33">
        <v>45949</v>
      </c>
      <c r="B738" s="30" t="s">
        <v>24</v>
      </c>
      <c r="C738" s="31" t="str">
        <f>VLOOKUP(B738,'Kode Data'!$B$3:$C$23,2,0)</f>
        <v>Germ Gandum</v>
      </c>
      <c r="D738" s="30" t="str">
        <f>VLOOKUP(LEFT(B738,2),'Kode Data'!$E$3:$G$6,3,0)</f>
        <v>Bahan Baku</v>
      </c>
      <c r="E738" s="31" t="s">
        <v>89</v>
      </c>
      <c r="F738" s="30">
        <v>260</v>
      </c>
      <c r="G738" s="30">
        <v>0</v>
      </c>
      <c r="H738" s="30">
        <v>2090</v>
      </c>
      <c r="I738" s="30">
        <v>2350</v>
      </c>
      <c r="J738" s="30" t="s">
        <v>87</v>
      </c>
      <c r="K738" s="32" t="s">
        <v>110</v>
      </c>
    </row>
    <row r="739" spans="1:11" ht="14.5" x14ac:dyDescent="0.35">
      <c r="A739" s="33">
        <v>45950</v>
      </c>
      <c r="B739" s="30" t="s">
        <v>9</v>
      </c>
      <c r="C739" s="31" t="str">
        <f>VLOOKUP(B739,'Kode Data'!$B$3:$C$23,2,0)</f>
        <v>Gandum Soft Wheat</v>
      </c>
      <c r="D739" s="30" t="str">
        <f>VLOOKUP(LEFT(B739,2),'Kode Data'!$E$3:$G$6,3,0)</f>
        <v>Bahan Baku</v>
      </c>
      <c r="E739" s="31" t="s">
        <v>98</v>
      </c>
      <c r="F739" s="30">
        <v>350</v>
      </c>
      <c r="G739" s="30">
        <v>0</v>
      </c>
      <c r="H739" s="30">
        <v>2550</v>
      </c>
      <c r="I739" s="30">
        <v>2900</v>
      </c>
      <c r="J739" s="30" t="s">
        <v>87</v>
      </c>
      <c r="K739" s="32" t="s">
        <v>110</v>
      </c>
    </row>
    <row r="740" spans="1:11" ht="14.5" x14ac:dyDescent="0.35">
      <c r="A740" s="29">
        <v>45951</v>
      </c>
      <c r="B740" s="30" t="s">
        <v>34</v>
      </c>
      <c r="C740" s="31" t="str">
        <f>VLOOKUP(B740,'Kode Data'!$B$3:$C$23,2,0)</f>
        <v>Tepung Premix</v>
      </c>
      <c r="D740" s="30" t="str">
        <f>VLOOKUP(LEFT(B740,2),'Kode Data'!$E$3:$G$6,3,0)</f>
        <v>Bahan Tambahan</v>
      </c>
      <c r="E740" s="31" t="s">
        <v>89</v>
      </c>
      <c r="F740" s="30">
        <v>180</v>
      </c>
      <c r="G740" s="30">
        <v>0</v>
      </c>
      <c r="H740" s="30">
        <v>840</v>
      </c>
      <c r="I740" s="30">
        <v>1020</v>
      </c>
      <c r="J740" s="30" t="s">
        <v>87</v>
      </c>
      <c r="K740" s="32" t="s">
        <v>96</v>
      </c>
    </row>
    <row r="741" spans="1:11" ht="14.5" x14ac:dyDescent="0.35">
      <c r="A741" s="29">
        <v>45951</v>
      </c>
      <c r="B741" s="30" t="s">
        <v>38</v>
      </c>
      <c r="C741" s="31" t="str">
        <f>VLOOKUP(B741,'Kode Data'!$B$3:$C$23,2,0)</f>
        <v>Improver Tepung</v>
      </c>
      <c r="D741" s="30" t="str">
        <f>VLOOKUP(LEFT(B741,2),'Kode Data'!$E$3:$G$6,3,0)</f>
        <v>Bahan Tambahan</v>
      </c>
      <c r="E741" s="31" t="s">
        <v>117</v>
      </c>
      <c r="F741" s="30">
        <v>150</v>
      </c>
      <c r="G741" s="30">
        <v>0</v>
      </c>
      <c r="H741" s="30">
        <v>420</v>
      </c>
      <c r="I741" s="30">
        <v>570</v>
      </c>
      <c r="J741" s="30" t="s">
        <v>87</v>
      </c>
      <c r="K741" s="32" t="s">
        <v>116</v>
      </c>
    </row>
    <row r="742" spans="1:11" ht="14.5" x14ac:dyDescent="0.35">
      <c r="A742" s="29">
        <v>45951</v>
      </c>
      <c r="B742" s="30" t="s">
        <v>68</v>
      </c>
      <c r="C742" s="31" t="str">
        <f>VLOOKUP(B742,'Kode Data'!$B$3:$C$23,2,0)</f>
        <v>Tepung Terigu Khusus Kue</v>
      </c>
      <c r="D742" s="30" t="str">
        <f>VLOOKUP(LEFT(B742,2),'Kode Data'!$E$3:$G$6,3,0)</f>
        <v>Produk</v>
      </c>
      <c r="E742" s="31" t="s">
        <v>89</v>
      </c>
      <c r="F742" s="30">
        <v>600</v>
      </c>
      <c r="G742" s="30">
        <v>0</v>
      </c>
      <c r="H742" s="30">
        <v>2950</v>
      </c>
      <c r="I742" s="30">
        <v>3550</v>
      </c>
      <c r="J742" s="30" t="s">
        <v>80</v>
      </c>
      <c r="K742" s="32" t="s">
        <v>81</v>
      </c>
    </row>
    <row r="743" spans="1:11" ht="14.5" x14ac:dyDescent="0.35">
      <c r="A743" s="33">
        <v>45951</v>
      </c>
      <c r="B743" s="30" t="s">
        <v>56</v>
      </c>
      <c r="C743" s="31" t="str">
        <f>VLOOKUP(B743,'Kode Data'!$B$3:$C$23,2,0)</f>
        <v>Label Produk</v>
      </c>
      <c r="D743" s="30" t="str">
        <f>VLOOKUP(LEFT(B743,2),'Kode Data'!$E$3:$G$6,3,0)</f>
        <v>Kemasan</v>
      </c>
      <c r="E743" s="31" t="s">
        <v>120</v>
      </c>
      <c r="F743" s="30">
        <v>400</v>
      </c>
      <c r="G743" s="30">
        <v>0</v>
      </c>
      <c r="H743" s="30">
        <v>2150</v>
      </c>
      <c r="I743" s="30">
        <v>2550</v>
      </c>
      <c r="J743" s="30" t="s">
        <v>80</v>
      </c>
      <c r="K743" s="32" t="s">
        <v>85</v>
      </c>
    </row>
    <row r="744" spans="1:11" ht="14.5" x14ac:dyDescent="0.35">
      <c r="A744" s="29">
        <v>45952</v>
      </c>
      <c r="B744" s="30" t="s">
        <v>30</v>
      </c>
      <c r="C744" s="31" t="str">
        <f>VLOOKUP(B744,'Kode Data'!$B$3:$C$23,2,0)</f>
        <v>Vitamin Fortifikasi</v>
      </c>
      <c r="D744" s="30" t="str">
        <f>VLOOKUP(LEFT(B744,2),'Kode Data'!$E$3:$G$6,3,0)</f>
        <v>Bahan Tambahan</v>
      </c>
      <c r="E744" s="31" t="s">
        <v>119</v>
      </c>
      <c r="F744" s="30">
        <v>120</v>
      </c>
      <c r="G744" s="30">
        <v>0</v>
      </c>
      <c r="H744" s="30">
        <v>800</v>
      </c>
      <c r="I744" s="30">
        <v>920</v>
      </c>
      <c r="J744" s="30" t="s">
        <v>87</v>
      </c>
      <c r="K744" s="32" t="s">
        <v>116</v>
      </c>
    </row>
    <row r="745" spans="1:11" ht="14.5" x14ac:dyDescent="0.35">
      <c r="A745" s="33">
        <v>45952</v>
      </c>
      <c r="B745" s="30" t="s">
        <v>54</v>
      </c>
      <c r="C745" s="31" t="str">
        <f>VLOOKUP(B745,'Kode Data'!$B$3:$C$23,2,0)</f>
        <v>Karton Box</v>
      </c>
      <c r="D745" s="30" t="str">
        <f>VLOOKUP(LEFT(B745,2),'Kode Data'!$E$3:$G$6,3,0)</f>
        <v>Kemasan</v>
      </c>
      <c r="E745" s="31" t="s">
        <v>114</v>
      </c>
      <c r="F745" s="30">
        <v>900</v>
      </c>
      <c r="G745" s="30">
        <v>0</v>
      </c>
      <c r="H745" s="30">
        <v>12250</v>
      </c>
      <c r="I745" s="30">
        <v>13150</v>
      </c>
      <c r="J745" s="30" t="s">
        <v>80</v>
      </c>
      <c r="K745" s="32" t="s">
        <v>85</v>
      </c>
    </row>
    <row r="746" spans="1:11" ht="14.5" x14ac:dyDescent="0.35">
      <c r="A746" s="33">
        <v>45952</v>
      </c>
      <c r="B746" s="30" t="s">
        <v>19</v>
      </c>
      <c r="C746" s="31" t="str">
        <f>VLOOKUP(B746,'Kode Data'!$B$3:$C$23,2,0)</f>
        <v>Bran Gandum</v>
      </c>
      <c r="D746" s="30" t="str">
        <f>VLOOKUP(LEFT(B746,2),'Kode Data'!$E$3:$G$6,3,0)</f>
        <v>Bahan Baku</v>
      </c>
      <c r="E746" s="31" t="s">
        <v>118</v>
      </c>
      <c r="F746" s="30">
        <v>300</v>
      </c>
      <c r="G746" s="30">
        <v>0</v>
      </c>
      <c r="H746" s="30">
        <v>2500</v>
      </c>
      <c r="I746" s="30">
        <v>2800</v>
      </c>
      <c r="J746" s="30" t="s">
        <v>87</v>
      </c>
      <c r="K746" s="32" t="s">
        <v>110</v>
      </c>
    </row>
    <row r="747" spans="1:11" ht="14.5" x14ac:dyDescent="0.35">
      <c r="A747" s="29">
        <v>45953</v>
      </c>
      <c r="B747" s="30" t="s">
        <v>68</v>
      </c>
      <c r="C747" s="31" t="str">
        <f>VLOOKUP(B747,'Kode Data'!$B$3:$C$23,2,0)</f>
        <v>Tepung Terigu Khusus Kue</v>
      </c>
      <c r="D747" s="30" t="str">
        <f>VLOOKUP(LEFT(B747,2),'Kode Data'!$E$3:$G$6,3,0)</f>
        <v>Produk</v>
      </c>
      <c r="E747" s="31" t="s">
        <v>83</v>
      </c>
      <c r="F747" s="30">
        <v>0</v>
      </c>
      <c r="G747" s="30">
        <v>500</v>
      </c>
      <c r="H747" s="30">
        <v>3550</v>
      </c>
      <c r="I747" s="30">
        <v>3050</v>
      </c>
      <c r="J747" s="30" t="s">
        <v>80</v>
      </c>
      <c r="K747" s="32" t="s">
        <v>90</v>
      </c>
    </row>
    <row r="748" spans="1:11" ht="14.5" x14ac:dyDescent="0.35">
      <c r="A748" s="29">
        <v>45954</v>
      </c>
      <c r="B748" s="30" t="s">
        <v>60</v>
      </c>
      <c r="C748" s="31" t="str">
        <f>VLOOKUP(B748,'Kode Data'!$B$3:$C$23,2,0)</f>
        <v>Tepung Terigu Protein Tinggi</v>
      </c>
      <c r="D748" s="30" t="str">
        <f>VLOOKUP(LEFT(B748,2),'Kode Data'!$E$3:$G$6,3,0)</f>
        <v>Produk</v>
      </c>
      <c r="E748" s="31" t="s">
        <v>102</v>
      </c>
      <c r="F748" s="30">
        <v>0</v>
      </c>
      <c r="G748" s="30">
        <v>500</v>
      </c>
      <c r="H748" s="30">
        <v>2500</v>
      </c>
      <c r="I748" s="30">
        <v>2000</v>
      </c>
      <c r="J748" s="30" t="s">
        <v>80</v>
      </c>
      <c r="K748" s="32" t="s">
        <v>90</v>
      </c>
    </row>
    <row r="749" spans="1:11" ht="14.5" x14ac:dyDescent="0.35">
      <c r="A749" s="29">
        <v>45954</v>
      </c>
      <c r="B749" s="30" t="s">
        <v>50</v>
      </c>
      <c r="C749" s="31" t="str">
        <f>VLOOKUP(B749,'Kode Data'!$B$3:$C$23,2,0)</f>
        <v>Plastik Kemasan 1 Kg</v>
      </c>
      <c r="D749" s="30" t="str">
        <f>VLOOKUP(LEFT(B749,2),'Kode Data'!$E$3:$G$6,3,0)</f>
        <v>Kemasan</v>
      </c>
      <c r="E749" s="31" t="s">
        <v>99</v>
      </c>
      <c r="F749" s="30">
        <v>1100</v>
      </c>
      <c r="G749" s="30">
        <v>0</v>
      </c>
      <c r="H749" s="30">
        <v>11200</v>
      </c>
      <c r="I749" s="30">
        <v>12300</v>
      </c>
      <c r="J749" s="30" t="s">
        <v>80</v>
      </c>
      <c r="K749" s="32" t="s">
        <v>85</v>
      </c>
    </row>
    <row r="750" spans="1:11" ht="14.5" x14ac:dyDescent="0.35">
      <c r="A750" s="33">
        <v>45954</v>
      </c>
      <c r="B750" s="30" t="s">
        <v>14</v>
      </c>
      <c r="C750" s="31" t="str">
        <f>VLOOKUP(B750,'Kode Data'!$B$3:$C$23,2,0)</f>
        <v>Gandum Durum</v>
      </c>
      <c r="D750" s="30" t="str">
        <f>VLOOKUP(LEFT(B750,2),'Kode Data'!$E$3:$G$6,3,0)</f>
        <v>Bahan Baku</v>
      </c>
      <c r="E750" s="31" t="s">
        <v>79</v>
      </c>
      <c r="F750" s="30">
        <v>270</v>
      </c>
      <c r="G750" s="30">
        <v>0</v>
      </c>
      <c r="H750" s="30">
        <v>1510</v>
      </c>
      <c r="I750" s="30">
        <v>1780</v>
      </c>
      <c r="J750" s="30" t="s">
        <v>87</v>
      </c>
      <c r="K750" s="32" t="s">
        <v>110</v>
      </c>
    </row>
    <row r="751" spans="1:11" ht="14.5" x14ac:dyDescent="0.35">
      <c r="A751" s="29">
        <v>45956</v>
      </c>
      <c r="B751" s="30" t="s">
        <v>42</v>
      </c>
      <c r="C751" s="31" t="str">
        <f>VLOOKUP(B751,'Kode Data'!$B$3:$C$23,2,0)</f>
        <v>Calcium Propionate</v>
      </c>
      <c r="D751" s="30" t="str">
        <f>VLOOKUP(LEFT(B751,2),'Kode Data'!$E$3:$G$6,3,0)</f>
        <v>Bahan Tambahan</v>
      </c>
      <c r="E751" s="31" t="s">
        <v>121</v>
      </c>
      <c r="F751" s="30">
        <v>0</v>
      </c>
      <c r="G751" s="30">
        <v>40</v>
      </c>
      <c r="H751" s="30">
        <v>690</v>
      </c>
      <c r="I751" s="30">
        <v>650</v>
      </c>
      <c r="J751" s="30" t="s">
        <v>87</v>
      </c>
      <c r="K751" s="32" t="s">
        <v>104</v>
      </c>
    </row>
    <row r="752" spans="1:11" ht="14.5" x14ac:dyDescent="0.35">
      <c r="A752" s="29">
        <v>45956</v>
      </c>
      <c r="B752" s="30" t="s">
        <v>50</v>
      </c>
      <c r="C752" s="31" t="str">
        <f>VLOOKUP(B752,'Kode Data'!$B$3:$C$23,2,0)</f>
        <v>Plastik Kemasan 1 Kg</v>
      </c>
      <c r="D752" s="30" t="str">
        <f>VLOOKUP(LEFT(B752,2),'Kode Data'!$E$3:$G$6,3,0)</f>
        <v>Kemasan</v>
      </c>
      <c r="E752" s="31" t="s">
        <v>86</v>
      </c>
      <c r="F752" s="30">
        <v>0</v>
      </c>
      <c r="G752" s="30">
        <v>500</v>
      </c>
      <c r="H752" s="30">
        <v>12300</v>
      </c>
      <c r="I752" s="30">
        <v>11800</v>
      </c>
      <c r="J752" s="30" t="s">
        <v>80</v>
      </c>
      <c r="K752" s="32" t="s">
        <v>93</v>
      </c>
    </row>
    <row r="753" spans="1:11" ht="14.5" x14ac:dyDescent="0.35">
      <c r="A753" s="33">
        <v>45956</v>
      </c>
      <c r="B753" s="30" t="s">
        <v>4</v>
      </c>
      <c r="C753" s="31" t="str">
        <f>VLOOKUP(B753,'Kode Data'!$B$3:$C$23,2,0)</f>
        <v>Gandum Hard Wheat</v>
      </c>
      <c r="D753" s="30" t="str">
        <f>VLOOKUP(LEFT(B753,2),'Kode Data'!$E$3:$G$6,3,0)</f>
        <v>Bahan Baku</v>
      </c>
      <c r="E753" s="31" t="s">
        <v>98</v>
      </c>
      <c r="F753" s="30">
        <v>600</v>
      </c>
      <c r="G753" s="30">
        <v>0</v>
      </c>
      <c r="H753" s="30">
        <v>3200</v>
      </c>
      <c r="I753" s="30">
        <v>3800</v>
      </c>
      <c r="J753" s="30" t="s">
        <v>87</v>
      </c>
      <c r="K753" s="32" t="s">
        <v>110</v>
      </c>
    </row>
    <row r="754" spans="1:11" ht="14.5" x14ac:dyDescent="0.35">
      <c r="A754" s="33">
        <v>45956</v>
      </c>
      <c r="B754" s="30" t="s">
        <v>24</v>
      </c>
      <c r="C754" s="31" t="str">
        <f>VLOOKUP(B754,'Kode Data'!$B$3:$C$23,2,0)</f>
        <v>Germ Gandum</v>
      </c>
      <c r="D754" s="30" t="str">
        <f>VLOOKUP(LEFT(B754,2),'Kode Data'!$E$3:$G$6,3,0)</f>
        <v>Bahan Baku</v>
      </c>
      <c r="E754" s="31" t="s">
        <v>89</v>
      </c>
      <c r="F754" s="30">
        <v>0</v>
      </c>
      <c r="G754" s="30">
        <v>210</v>
      </c>
      <c r="H754" s="30">
        <v>2350</v>
      </c>
      <c r="I754" s="30">
        <v>2140</v>
      </c>
      <c r="J754" s="30" t="s">
        <v>87</v>
      </c>
      <c r="K754" s="32" t="s">
        <v>104</v>
      </c>
    </row>
    <row r="755" spans="1:11" ht="14.5" x14ac:dyDescent="0.35">
      <c r="A755" s="29">
        <v>45957</v>
      </c>
      <c r="B755" s="30" t="s">
        <v>62</v>
      </c>
      <c r="C755" s="31" t="str">
        <f>VLOOKUP(B755,'Kode Data'!$B$3:$C$23,2,0)</f>
        <v>Tepung Terigu Serbaguna</v>
      </c>
      <c r="D755" s="30" t="str">
        <f>VLOOKUP(LEFT(B755,2),'Kode Data'!$E$3:$G$6,3,0)</f>
        <v>Produk</v>
      </c>
      <c r="E755" s="31" t="s">
        <v>82</v>
      </c>
      <c r="F755" s="30">
        <v>0</v>
      </c>
      <c r="G755" s="30">
        <v>900</v>
      </c>
      <c r="H755" s="30">
        <v>3600</v>
      </c>
      <c r="I755" s="30">
        <v>2700</v>
      </c>
      <c r="J755" s="30" t="s">
        <v>80</v>
      </c>
      <c r="K755" s="32" t="s">
        <v>90</v>
      </c>
    </row>
    <row r="756" spans="1:11" ht="14.5" x14ac:dyDescent="0.35">
      <c r="A756" s="33">
        <v>45957</v>
      </c>
      <c r="B756" s="30" t="s">
        <v>58</v>
      </c>
      <c r="C756" s="31" t="str">
        <f>VLOOKUP(B756,'Kode Data'!$B$3:$C$23,2,0)</f>
        <v>Pallet Kayu</v>
      </c>
      <c r="D756" s="30" t="str">
        <f>VLOOKUP(LEFT(B756,2),'Kode Data'!$E$3:$G$6,3,0)</f>
        <v>Kemasan</v>
      </c>
      <c r="E756" s="31" t="s">
        <v>94</v>
      </c>
      <c r="F756" s="30">
        <v>0</v>
      </c>
      <c r="G756" s="30">
        <v>30</v>
      </c>
      <c r="H756" s="30">
        <v>340</v>
      </c>
      <c r="I756" s="30">
        <v>310</v>
      </c>
      <c r="J756" s="30" t="s">
        <v>80</v>
      </c>
      <c r="K756" s="32" t="s">
        <v>93</v>
      </c>
    </row>
    <row r="757" spans="1:11" ht="14.5" x14ac:dyDescent="0.35">
      <c r="A757" s="29">
        <v>45958</v>
      </c>
      <c r="B757" s="30" t="s">
        <v>26</v>
      </c>
      <c r="C757" s="31" t="str">
        <f>VLOOKUP(B757,'Kode Data'!$B$3:$C$23,2,0)</f>
        <v>Enzim Baking</v>
      </c>
      <c r="D757" s="30" t="str">
        <f>VLOOKUP(LEFT(B757,2),'Kode Data'!$E$3:$G$6,3,0)</f>
        <v>Bahan Tambahan</v>
      </c>
      <c r="E757" s="31" t="s">
        <v>100</v>
      </c>
      <c r="F757" s="30">
        <v>0</v>
      </c>
      <c r="G757" s="30">
        <v>110</v>
      </c>
      <c r="H757" s="30">
        <v>390</v>
      </c>
      <c r="I757" s="30">
        <v>280</v>
      </c>
      <c r="J757" s="30" t="s">
        <v>87</v>
      </c>
      <c r="K757" s="32" t="s">
        <v>104</v>
      </c>
    </row>
    <row r="758" spans="1:11" ht="14.5" x14ac:dyDescent="0.35">
      <c r="A758" s="29">
        <v>45958</v>
      </c>
      <c r="B758" s="30" t="s">
        <v>46</v>
      </c>
      <c r="C758" s="31" t="str">
        <f>VLOOKUP(B758,'Kode Data'!$B$3:$C$23,2,0)</f>
        <v>Karung Kemasan 25 Kg</v>
      </c>
      <c r="D758" s="30" t="str">
        <f>VLOOKUP(LEFT(B758,2),'Kode Data'!$E$3:$G$6,3,0)</f>
        <v>Kemasan</v>
      </c>
      <c r="E758" s="31" t="s">
        <v>86</v>
      </c>
      <c r="F758" s="30">
        <v>0</v>
      </c>
      <c r="G758" s="30">
        <v>250</v>
      </c>
      <c r="H758" s="30">
        <v>4100</v>
      </c>
      <c r="I758" s="30">
        <v>3850</v>
      </c>
      <c r="J758" s="30" t="s">
        <v>80</v>
      </c>
      <c r="K758" s="32" t="s">
        <v>93</v>
      </c>
    </row>
    <row r="759" spans="1:11" ht="14.5" x14ac:dyDescent="0.35">
      <c r="A759" s="29">
        <v>45958</v>
      </c>
      <c r="B759" s="30" t="s">
        <v>50</v>
      </c>
      <c r="C759" s="31" t="str">
        <f>VLOOKUP(B759,'Kode Data'!$B$3:$C$23,2,0)</f>
        <v>Plastik Kemasan 1 Kg</v>
      </c>
      <c r="D759" s="30" t="str">
        <f>VLOOKUP(LEFT(B759,2),'Kode Data'!$E$3:$G$6,3,0)</f>
        <v>Kemasan</v>
      </c>
      <c r="E759" s="31" t="s">
        <v>92</v>
      </c>
      <c r="F759" s="30">
        <v>900</v>
      </c>
      <c r="G759" s="30">
        <v>0</v>
      </c>
      <c r="H759" s="30">
        <v>11800</v>
      </c>
      <c r="I759" s="30">
        <v>12700</v>
      </c>
      <c r="J759" s="30" t="s">
        <v>80</v>
      </c>
      <c r="K759" s="32" t="s">
        <v>85</v>
      </c>
    </row>
    <row r="760" spans="1:11" ht="14.5" x14ac:dyDescent="0.35">
      <c r="A760" s="33">
        <v>45958</v>
      </c>
      <c r="B760" s="30" t="s">
        <v>56</v>
      </c>
      <c r="C760" s="31" t="str">
        <f>VLOOKUP(B760,'Kode Data'!$B$3:$C$23,2,0)</f>
        <v>Label Produk</v>
      </c>
      <c r="D760" s="30" t="str">
        <f>VLOOKUP(LEFT(B760,2),'Kode Data'!$E$3:$G$6,3,0)</f>
        <v>Kemasan</v>
      </c>
      <c r="E760" s="31" t="s">
        <v>120</v>
      </c>
      <c r="F760" s="30">
        <v>0</v>
      </c>
      <c r="G760" s="30">
        <v>400</v>
      </c>
      <c r="H760" s="30">
        <v>2550</v>
      </c>
      <c r="I760" s="30">
        <v>2150</v>
      </c>
      <c r="J760" s="30" t="s">
        <v>80</v>
      </c>
      <c r="K760" s="32" t="s">
        <v>93</v>
      </c>
    </row>
    <row r="761" spans="1:11" ht="14.5" x14ac:dyDescent="0.35">
      <c r="A761" s="33">
        <v>45958</v>
      </c>
      <c r="B761" s="30" t="s">
        <v>19</v>
      </c>
      <c r="C761" s="31" t="str">
        <f>VLOOKUP(B761,'Kode Data'!$B$3:$C$23,2,0)</f>
        <v>Bran Gandum</v>
      </c>
      <c r="D761" s="30" t="str">
        <f>VLOOKUP(LEFT(B761,2),'Kode Data'!$E$3:$G$6,3,0)</f>
        <v>Bahan Baku</v>
      </c>
      <c r="E761" s="31" t="s">
        <v>79</v>
      </c>
      <c r="F761" s="30">
        <v>0</v>
      </c>
      <c r="G761" s="30">
        <v>250</v>
      </c>
      <c r="H761" s="30">
        <v>2800</v>
      </c>
      <c r="I761" s="30">
        <v>2550</v>
      </c>
      <c r="J761" s="30" t="s">
        <v>87</v>
      </c>
      <c r="K761" s="32" t="s">
        <v>104</v>
      </c>
    </row>
    <row r="762" spans="1:11" ht="14.5" x14ac:dyDescent="0.35">
      <c r="A762" s="29">
        <v>45959</v>
      </c>
      <c r="B762" s="30" t="s">
        <v>34</v>
      </c>
      <c r="C762" s="31" t="str">
        <f>VLOOKUP(B762,'Kode Data'!$B$3:$C$23,2,0)</f>
        <v>Tepung Premix</v>
      </c>
      <c r="D762" s="30" t="str">
        <f>VLOOKUP(LEFT(B762,2),'Kode Data'!$E$3:$G$6,3,0)</f>
        <v>Bahan Tambahan</v>
      </c>
      <c r="E762" s="31" t="s">
        <v>82</v>
      </c>
      <c r="F762" s="30">
        <v>0</v>
      </c>
      <c r="G762" s="30">
        <v>160</v>
      </c>
      <c r="H762" s="30">
        <v>1020</v>
      </c>
      <c r="I762" s="30">
        <v>860</v>
      </c>
      <c r="J762" s="30" t="s">
        <v>87</v>
      </c>
      <c r="K762" s="32" t="s">
        <v>104</v>
      </c>
    </row>
    <row r="763" spans="1:11" ht="14.5" x14ac:dyDescent="0.35">
      <c r="A763" s="29">
        <v>45959</v>
      </c>
      <c r="B763" s="30" t="s">
        <v>38</v>
      </c>
      <c r="C763" s="31" t="str">
        <f>VLOOKUP(B763,'Kode Data'!$B$3:$C$23,2,0)</f>
        <v>Improver Tepung</v>
      </c>
      <c r="D763" s="30" t="str">
        <f>VLOOKUP(LEFT(B763,2),'Kode Data'!$E$3:$G$6,3,0)</f>
        <v>Bahan Tambahan</v>
      </c>
      <c r="E763" s="31" t="s">
        <v>95</v>
      </c>
      <c r="F763" s="30">
        <v>0</v>
      </c>
      <c r="G763" s="30">
        <v>160</v>
      </c>
      <c r="H763" s="30">
        <v>570</v>
      </c>
      <c r="I763" s="30">
        <v>410</v>
      </c>
      <c r="J763" s="30" t="s">
        <v>87</v>
      </c>
      <c r="K763" s="32" t="s">
        <v>104</v>
      </c>
    </row>
    <row r="764" spans="1:11" ht="14.5" x14ac:dyDescent="0.35">
      <c r="A764" s="33">
        <v>45959</v>
      </c>
      <c r="B764" s="30" t="s">
        <v>9</v>
      </c>
      <c r="C764" s="31" t="str">
        <f>VLOOKUP(B764,'Kode Data'!$B$3:$C$23,2,0)</f>
        <v>Gandum Soft Wheat</v>
      </c>
      <c r="D764" s="30" t="str">
        <f>VLOOKUP(LEFT(B764,2),'Kode Data'!$E$3:$G$6,3,0)</f>
        <v>Bahan Baku</v>
      </c>
      <c r="E764" s="31" t="s">
        <v>79</v>
      </c>
      <c r="F764" s="30">
        <v>0</v>
      </c>
      <c r="G764" s="30">
        <v>300</v>
      </c>
      <c r="H764" s="30">
        <v>2900</v>
      </c>
      <c r="I764" s="30">
        <v>2600</v>
      </c>
      <c r="J764" s="30" t="s">
        <v>87</v>
      </c>
      <c r="K764" s="32" t="s">
        <v>104</v>
      </c>
    </row>
    <row r="765" spans="1:11" ht="14.5" x14ac:dyDescent="0.35">
      <c r="A765" s="29">
        <v>45960</v>
      </c>
      <c r="B765" s="30" t="s">
        <v>30</v>
      </c>
      <c r="C765" s="31" t="str">
        <f>VLOOKUP(B765,'Kode Data'!$B$3:$C$23,2,0)</f>
        <v>Vitamin Fortifikasi</v>
      </c>
      <c r="D765" s="30" t="str">
        <f>VLOOKUP(LEFT(B765,2),'Kode Data'!$E$3:$G$6,3,0)</f>
        <v>Bahan Tambahan</v>
      </c>
      <c r="E765" s="31" t="s">
        <v>101</v>
      </c>
      <c r="F765" s="30">
        <v>0</v>
      </c>
      <c r="G765" s="30">
        <v>95</v>
      </c>
      <c r="H765" s="30">
        <v>920</v>
      </c>
      <c r="I765" s="30">
        <v>825</v>
      </c>
      <c r="J765" s="30" t="s">
        <v>87</v>
      </c>
      <c r="K765" s="32" t="s">
        <v>104</v>
      </c>
    </row>
    <row r="766" spans="1:11" ht="14.5" x14ac:dyDescent="0.35">
      <c r="A766" s="29">
        <v>45960</v>
      </c>
      <c r="B766" s="30" t="s">
        <v>46</v>
      </c>
      <c r="C766" s="31" t="str">
        <f>VLOOKUP(B766,'Kode Data'!$B$3:$C$23,2,0)</f>
        <v>Karung Kemasan 25 Kg</v>
      </c>
      <c r="D766" s="30" t="str">
        <f>VLOOKUP(LEFT(B766,2),'Kode Data'!$E$3:$G$6,3,0)</f>
        <v>Kemasan</v>
      </c>
      <c r="E766" s="31" t="s">
        <v>97</v>
      </c>
      <c r="F766" s="30">
        <v>350</v>
      </c>
      <c r="G766" s="30">
        <v>0</v>
      </c>
      <c r="H766" s="30">
        <v>3850</v>
      </c>
      <c r="I766" s="30">
        <v>4200</v>
      </c>
      <c r="J766" s="30" t="s">
        <v>80</v>
      </c>
      <c r="K766" s="32" t="s">
        <v>85</v>
      </c>
    </row>
    <row r="767" spans="1:11" ht="14.5" x14ac:dyDescent="0.35">
      <c r="A767" s="33">
        <v>45960</v>
      </c>
      <c r="B767" s="30" t="s">
        <v>14</v>
      </c>
      <c r="C767" s="31" t="str">
        <f>VLOOKUP(B767,'Kode Data'!$B$3:$C$23,2,0)</f>
        <v>Gandum Durum</v>
      </c>
      <c r="D767" s="30" t="str">
        <f>VLOOKUP(LEFT(B767,2),'Kode Data'!$E$3:$G$6,3,0)</f>
        <v>Bahan Baku</v>
      </c>
      <c r="E767" s="31" t="s">
        <v>79</v>
      </c>
      <c r="F767" s="30">
        <v>0</v>
      </c>
      <c r="G767" s="30">
        <v>260</v>
      </c>
      <c r="H767" s="30">
        <v>1780</v>
      </c>
      <c r="I767" s="30">
        <v>1520</v>
      </c>
      <c r="J767" s="30" t="s">
        <v>87</v>
      </c>
      <c r="K767" s="32" t="s">
        <v>104</v>
      </c>
    </row>
    <row r="768" spans="1:11" ht="14.5" x14ac:dyDescent="0.35">
      <c r="A768" s="33">
        <v>45961</v>
      </c>
      <c r="B768" s="30" t="s">
        <v>54</v>
      </c>
      <c r="C768" s="31" t="str">
        <f>VLOOKUP(B768,'Kode Data'!$B$3:$C$23,2,0)</f>
        <v>Karton Box</v>
      </c>
      <c r="D768" s="30" t="str">
        <f>VLOOKUP(LEFT(B768,2),'Kode Data'!$E$3:$G$6,3,0)</f>
        <v>Kemasan</v>
      </c>
      <c r="E768" s="31" t="s">
        <v>97</v>
      </c>
      <c r="F768" s="30">
        <v>0</v>
      </c>
      <c r="G768" s="30">
        <v>600</v>
      </c>
      <c r="H768" s="30">
        <v>13150</v>
      </c>
      <c r="I768" s="30">
        <v>12550</v>
      </c>
      <c r="J768" s="30" t="s">
        <v>80</v>
      </c>
      <c r="K768" s="32" t="s">
        <v>93</v>
      </c>
    </row>
    <row r="769" spans="1:11" ht="14.5" x14ac:dyDescent="0.35">
      <c r="A769" s="29">
        <v>45962</v>
      </c>
      <c r="B769" s="30" t="s">
        <v>46</v>
      </c>
      <c r="C769" s="31" t="str">
        <f>VLOOKUP(B769,'Kode Data'!$B$3:$C$23,2,0)</f>
        <v>Karung Kemasan 25 Kg</v>
      </c>
      <c r="D769" s="30" t="str">
        <f>VLOOKUP(LEFT(B769,2),'Kode Data'!$E$3:$G$6,3,0)</f>
        <v>Kemasan</v>
      </c>
      <c r="E769" s="31" t="s">
        <v>84</v>
      </c>
      <c r="F769" s="30">
        <v>0</v>
      </c>
      <c r="G769" s="30">
        <v>200</v>
      </c>
      <c r="H769" s="30">
        <v>4200</v>
      </c>
      <c r="I769" s="30">
        <v>4000</v>
      </c>
      <c r="J769" s="30" t="s">
        <v>80</v>
      </c>
      <c r="K769" s="32" t="s">
        <v>93</v>
      </c>
    </row>
    <row r="770" spans="1:11" ht="14.5" x14ac:dyDescent="0.35">
      <c r="A770" s="29">
        <v>45963</v>
      </c>
      <c r="B770" s="30" t="s">
        <v>42</v>
      </c>
      <c r="C770" s="31" t="str">
        <f>VLOOKUP(B770,'Kode Data'!$B$3:$C$23,2,0)</f>
        <v>Calcium Propionate</v>
      </c>
      <c r="D770" s="30" t="str">
        <f>VLOOKUP(LEFT(B770,2),'Kode Data'!$E$3:$G$6,3,0)</f>
        <v>Bahan Tambahan</v>
      </c>
      <c r="E770" s="31" t="s">
        <v>95</v>
      </c>
      <c r="F770" s="30">
        <v>50</v>
      </c>
      <c r="G770" s="30">
        <v>0</v>
      </c>
      <c r="H770" s="30">
        <v>650</v>
      </c>
      <c r="I770" s="30">
        <v>700</v>
      </c>
      <c r="J770" s="30" t="s">
        <v>87</v>
      </c>
      <c r="K770" s="32" t="s">
        <v>116</v>
      </c>
    </row>
    <row r="771" spans="1:11" ht="14.5" x14ac:dyDescent="0.35">
      <c r="A771" s="33">
        <v>45963</v>
      </c>
      <c r="B771" s="30" t="s">
        <v>56</v>
      </c>
      <c r="C771" s="31" t="str">
        <f>VLOOKUP(B771,'Kode Data'!$B$3:$C$23,2,0)</f>
        <v>Label Produk</v>
      </c>
      <c r="D771" s="30" t="str">
        <f>VLOOKUP(LEFT(B771,2),'Kode Data'!$E$3:$G$6,3,0)</f>
        <v>Kemasan</v>
      </c>
      <c r="E771" s="31" t="s">
        <v>103</v>
      </c>
      <c r="F771" s="30">
        <v>500</v>
      </c>
      <c r="G771" s="30">
        <v>0</v>
      </c>
      <c r="H771" s="30">
        <v>2150</v>
      </c>
      <c r="I771" s="30">
        <v>2650</v>
      </c>
      <c r="J771" s="30" t="s">
        <v>80</v>
      </c>
      <c r="K771" s="32" t="s">
        <v>85</v>
      </c>
    </row>
    <row r="772" spans="1:11" ht="14.5" x14ac:dyDescent="0.35">
      <c r="A772" s="33">
        <v>45963</v>
      </c>
      <c r="B772" s="30" t="s">
        <v>19</v>
      </c>
      <c r="C772" s="31" t="str">
        <f>VLOOKUP(B772,'Kode Data'!$B$3:$C$23,2,0)</f>
        <v>Bran Gandum</v>
      </c>
      <c r="D772" s="30" t="str">
        <f>VLOOKUP(LEFT(B772,2),'Kode Data'!$E$3:$G$6,3,0)</f>
        <v>Bahan Baku</v>
      </c>
      <c r="E772" s="31" t="s">
        <v>98</v>
      </c>
      <c r="F772" s="30">
        <v>400</v>
      </c>
      <c r="G772" s="30">
        <v>0</v>
      </c>
      <c r="H772" s="30">
        <v>2550</v>
      </c>
      <c r="I772" s="30">
        <v>2950</v>
      </c>
      <c r="J772" s="30" t="s">
        <v>87</v>
      </c>
      <c r="K772" s="32" t="s">
        <v>88</v>
      </c>
    </row>
    <row r="773" spans="1:11" ht="14.5" x14ac:dyDescent="0.35">
      <c r="A773" s="29">
        <v>45964</v>
      </c>
      <c r="B773" s="30" t="s">
        <v>34</v>
      </c>
      <c r="C773" s="31" t="str">
        <f>VLOOKUP(B773,'Kode Data'!$B$3:$C$23,2,0)</f>
        <v>Tepung Premix</v>
      </c>
      <c r="D773" s="30" t="str">
        <f>VLOOKUP(LEFT(B773,2),'Kode Data'!$E$3:$G$6,3,0)</f>
        <v>Bahan Tambahan</v>
      </c>
      <c r="E773" s="31" t="s">
        <v>79</v>
      </c>
      <c r="F773" s="30">
        <v>200</v>
      </c>
      <c r="G773" s="30">
        <v>0</v>
      </c>
      <c r="H773" s="30">
        <v>860</v>
      </c>
      <c r="I773" s="30">
        <v>1060</v>
      </c>
      <c r="J773" s="30" t="s">
        <v>87</v>
      </c>
      <c r="K773" s="32" t="s">
        <v>96</v>
      </c>
    </row>
    <row r="774" spans="1:11" ht="14.5" x14ac:dyDescent="0.35">
      <c r="A774" s="29">
        <v>45964</v>
      </c>
      <c r="B774" s="30" t="s">
        <v>66</v>
      </c>
      <c r="C774" s="31" t="str">
        <f>VLOOKUP(B774,'Kode Data'!$B$3:$C$23,2,0)</f>
        <v>Tepung Terigu Khusus Roti</v>
      </c>
      <c r="D774" s="30" t="str">
        <f>VLOOKUP(LEFT(B774,2),'Kode Data'!$E$3:$G$6,3,0)</f>
        <v>Produk</v>
      </c>
      <c r="E774" s="31" t="s">
        <v>79</v>
      </c>
      <c r="F774" s="30">
        <v>0</v>
      </c>
      <c r="G774" s="30">
        <v>350</v>
      </c>
      <c r="H774" s="30">
        <v>2100</v>
      </c>
      <c r="I774" s="30">
        <v>1750</v>
      </c>
      <c r="J774" s="30" t="s">
        <v>80</v>
      </c>
      <c r="K774" s="32" t="s">
        <v>90</v>
      </c>
    </row>
    <row r="775" spans="1:11" ht="14.5" x14ac:dyDescent="0.35">
      <c r="A775" s="29">
        <v>45964</v>
      </c>
      <c r="B775" s="30" t="s">
        <v>46</v>
      </c>
      <c r="C775" s="31" t="str">
        <f>VLOOKUP(B775,'Kode Data'!$B$3:$C$23,2,0)</f>
        <v>Karung Kemasan 25 Kg</v>
      </c>
      <c r="D775" s="30" t="str">
        <f>VLOOKUP(LEFT(B775,2),'Kode Data'!$E$3:$G$6,3,0)</f>
        <v>Kemasan</v>
      </c>
      <c r="E775" s="31" t="s">
        <v>84</v>
      </c>
      <c r="F775" s="30">
        <v>400</v>
      </c>
      <c r="G775" s="30">
        <v>0</v>
      </c>
      <c r="H775" s="30">
        <v>4000</v>
      </c>
      <c r="I775" s="30">
        <v>4400</v>
      </c>
      <c r="J775" s="30" t="s">
        <v>80</v>
      </c>
      <c r="K775" s="32" t="s">
        <v>85</v>
      </c>
    </row>
    <row r="776" spans="1:11" ht="14.5" x14ac:dyDescent="0.35">
      <c r="A776" s="33">
        <v>45964</v>
      </c>
      <c r="B776" s="30" t="s">
        <v>54</v>
      </c>
      <c r="C776" s="31" t="str">
        <f>VLOOKUP(B776,'Kode Data'!$B$3:$C$23,2,0)</f>
        <v>Karton Box</v>
      </c>
      <c r="D776" s="30" t="str">
        <f>VLOOKUP(LEFT(B776,2),'Kode Data'!$E$3:$G$6,3,0)</f>
        <v>Kemasan</v>
      </c>
      <c r="E776" s="31" t="s">
        <v>109</v>
      </c>
      <c r="F776" s="30">
        <v>1100</v>
      </c>
      <c r="G776" s="30">
        <v>0</v>
      </c>
      <c r="H776" s="30">
        <v>12550</v>
      </c>
      <c r="I776" s="30">
        <v>13650</v>
      </c>
      <c r="J776" s="30" t="s">
        <v>80</v>
      </c>
      <c r="K776" s="32" t="s">
        <v>85</v>
      </c>
    </row>
    <row r="777" spans="1:11" ht="14.5" x14ac:dyDescent="0.35">
      <c r="A777" s="33">
        <v>45964</v>
      </c>
      <c r="B777" s="30" t="s">
        <v>24</v>
      </c>
      <c r="C777" s="31" t="str">
        <f>VLOOKUP(B777,'Kode Data'!$B$3:$C$23,2,0)</f>
        <v>Germ Gandum</v>
      </c>
      <c r="D777" s="30" t="str">
        <f>VLOOKUP(LEFT(B777,2),'Kode Data'!$E$3:$G$6,3,0)</f>
        <v>Bahan Baku</v>
      </c>
      <c r="E777" s="31" t="s">
        <v>98</v>
      </c>
      <c r="F777" s="30">
        <v>280</v>
      </c>
      <c r="G777" s="30">
        <v>0</v>
      </c>
      <c r="H777" s="30">
        <v>2140</v>
      </c>
      <c r="I777" s="30">
        <v>2420</v>
      </c>
      <c r="J777" s="30" t="s">
        <v>87</v>
      </c>
      <c r="K777" s="32" t="s">
        <v>88</v>
      </c>
    </row>
    <row r="778" spans="1:11" ht="14.5" x14ac:dyDescent="0.35">
      <c r="A778" s="29">
        <v>45965</v>
      </c>
      <c r="B778" s="30" t="s">
        <v>38</v>
      </c>
      <c r="C778" s="31" t="str">
        <f>VLOOKUP(B778,'Kode Data'!$B$3:$C$23,2,0)</f>
        <v>Improver Tepung</v>
      </c>
      <c r="D778" s="30" t="str">
        <f>VLOOKUP(LEFT(B778,2),'Kode Data'!$E$3:$G$6,3,0)</f>
        <v>Bahan Tambahan</v>
      </c>
      <c r="E778" s="31" t="s">
        <v>107</v>
      </c>
      <c r="F778" s="30">
        <v>170</v>
      </c>
      <c r="G778" s="30">
        <v>0</v>
      </c>
      <c r="H778" s="30">
        <v>410</v>
      </c>
      <c r="I778" s="30">
        <v>580</v>
      </c>
      <c r="J778" s="30" t="s">
        <v>87</v>
      </c>
      <c r="K778" s="32" t="s">
        <v>96</v>
      </c>
    </row>
    <row r="779" spans="1:11" ht="14.5" x14ac:dyDescent="0.35">
      <c r="A779" s="29">
        <v>45965</v>
      </c>
      <c r="B779" s="30" t="s">
        <v>62</v>
      </c>
      <c r="C779" s="31" t="str">
        <f>VLOOKUP(B779,'Kode Data'!$B$3:$C$23,2,0)</f>
        <v>Tepung Terigu Serbaguna</v>
      </c>
      <c r="D779" s="30" t="str">
        <f>VLOOKUP(LEFT(B779,2),'Kode Data'!$E$3:$G$6,3,0)</f>
        <v>Produk</v>
      </c>
      <c r="E779" s="31" t="s">
        <v>79</v>
      </c>
      <c r="F779" s="30">
        <v>800</v>
      </c>
      <c r="G779" s="30">
        <v>0</v>
      </c>
      <c r="H779" s="30">
        <v>2700</v>
      </c>
      <c r="I779" s="30">
        <v>3500</v>
      </c>
      <c r="J779" s="30" t="s">
        <v>80</v>
      </c>
      <c r="K779" s="32" t="s">
        <v>81</v>
      </c>
    </row>
    <row r="780" spans="1:11" ht="14.5" x14ac:dyDescent="0.35">
      <c r="A780" s="33">
        <v>45965</v>
      </c>
      <c r="B780" s="30" t="s">
        <v>58</v>
      </c>
      <c r="C780" s="31" t="str">
        <f>VLOOKUP(B780,'Kode Data'!$B$3:$C$23,2,0)</f>
        <v>Pallet Kayu</v>
      </c>
      <c r="D780" s="30" t="str">
        <f>VLOOKUP(LEFT(B780,2),'Kode Data'!$E$3:$G$6,3,0)</f>
        <v>Kemasan</v>
      </c>
      <c r="E780" s="31" t="s">
        <v>122</v>
      </c>
      <c r="F780" s="30">
        <v>70</v>
      </c>
      <c r="G780" s="30">
        <v>0</v>
      </c>
      <c r="H780" s="30">
        <v>310</v>
      </c>
      <c r="I780" s="30">
        <v>380</v>
      </c>
      <c r="J780" s="30" t="s">
        <v>80</v>
      </c>
      <c r="K780" s="32" t="s">
        <v>85</v>
      </c>
    </row>
    <row r="781" spans="1:11" ht="14.5" x14ac:dyDescent="0.35">
      <c r="A781" s="33">
        <v>45965</v>
      </c>
      <c r="B781" s="30" t="s">
        <v>14</v>
      </c>
      <c r="C781" s="31" t="str">
        <f>VLOOKUP(B781,'Kode Data'!$B$3:$C$23,2,0)</f>
        <v>Gandum Durum</v>
      </c>
      <c r="D781" s="30" t="str">
        <f>VLOOKUP(LEFT(B781,2),'Kode Data'!$E$3:$G$6,3,0)</f>
        <v>Bahan Baku</v>
      </c>
      <c r="E781" s="31" t="s">
        <v>98</v>
      </c>
      <c r="F781" s="30">
        <v>350</v>
      </c>
      <c r="G781" s="30">
        <v>0</v>
      </c>
      <c r="H781" s="30">
        <v>1520</v>
      </c>
      <c r="I781" s="30">
        <v>1870</v>
      </c>
      <c r="J781" s="30" t="s">
        <v>87</v>
      </c>
      <c r="K781" s="32" t="s">
        <v>88</v>
      </c>
    </row>
    <row r="782" spans="1:11" ht="14.5" x14ac:dyDescent="0.35">
      <c r="A782" s="29">
        <v>45966</v>
      </c>
      <c r="B782" s="30" t="s">
        <v>26</v>
      </c>
      <c r="C782" s="31" t="str">
        <f>VLOOKUP(B782,'Kode Data'!$B$3:$C$23,2,0)</f>
        <v>Enzim Baking</v>
      </c>
      <c r="D782" s="30" t="str">
        <f>VLOOKUP(LEFT(B782,2),'Kode Data'!$E$3:$G$6,3,0)</f>
        <v>Bahan Tambahan</v>
      </c>
      <c r="E782" s="31" t="s">
        <v>106</v>
      </c>
      <c r="F782" s="30">
        <v>120</v>
      </c>
      <c r="G782" s="30">
        <v>0</v>
      </c>
      <c r="H782" s="30">
        <v>280</v>
      </c>
      <c r="I782" s="30">
        <v>400</v>
      </c>
      <c r="J782" s="30" t="s">
        <v>87</v>
      </c>
      <c r="K782" s="32" t="s">
        <v>96</v>
      </c>
    </row>
    <row r="783" spans="1:11" ht="14.5" x14ac:dyDescent="0.35">
      <c r="A783" s="29">
        <v>45966</v>
      </c>
      <c r="B783" s="30" t="s">
        <v>30</v>
      </c>
      <c r="C783" s="31" t="str">
        <f>VLOOKUP(B783,'Kode Data'!$B$3:$C$23,2,0)</f>
        <v>Vitamin Fortifikasi</v>
      </c>
      <c r="D783" s="30" t="str">
        <f>VLOOKUP(LEFT(B783,2),'Kode Data'!$E$3:$G$6,3,0)</f>
        <v>Bahan Tambahan</v>
      </c>
      <c r="E783" s="31" t="s">
        <v>112</v>
      </c>
      <c r="F783" s="30">
        <v>130</v>
      </c>
      <c r="G783" s="30">
        <v>0</v>
      </c>
      <c r="H783" s="30">
        <v>825</v>
      </c>
      <c r="I783" s="30">
        <v>955</v>
      </c>
      <c r="J783" s="30" t="s">
        <v>87</v>
      </c>
      <c r="K783" s="32" t="s">
        <v>96</v>
      </c>
    </row>
    <row r="784" spans="1:11" ht="14.5" x14ac:dyDescent="0.35">
      <c r="A784" s="29">
        <v>45966</v>
      </c>
      <c r="B784" s="30" t="s">
        <v>60</v>
      </c>
      <c r="C784" s="31" t="str">
        <f>VLOOKUP(B784,'Kode Data'!$B$3:$C$23,2,0)</f>
        <v>Tepung Terigu Protein Tinggi</v>
      </c>
      <c r="D784" s="30" t="str">
        <f>VLOOKUP(LEFT(B784,2),'Kode Data'!$E$3:$G$6,3,0)</f>
        <v>Produk</v>
      </c>
      <c r="E784" s="31" t="s">
        <v>108</v>
      </c>
      <c r="F784" s="30">
        <v>700</v>
      </c>
      <c r="G784" s="30">
        <v>0</v>
      </c>
      <c r="H784" s="30">
        <v>2000</v>
      </c>
      <c r="I784" s="30">
        <v>2700</v>
      </c>
      <c r="J784" s="30" t="s">
        <v>80</v>
      </c>
      <c r="K784" s="32" t="s">
        <v>81</v>
      </c>
    </row>
    <row r="785" spans="1:11" ht="14.5" x14ac:dyDescent="0.35">
      <c r="A785" s="29">
        <v>45966</v>
      </c>
      <c r="B785" s="30" t="s">
        <v>46</v>
      </c>
      <c r="C785" s="31" t="str">
        <f>VLOOKUP(B785,'Kode Data'!$B$3:$C$23,2,0)</f>
        <v>Karung Kemasan 25 Kg</v>
      </c>
      <c r="D785" s="30" t="str">
        <f>VLOOKUP(LEFT(B785,2),'Kode Data'!$E$3:$G$6,3,0)</f>
        <v>Kemasan</v>
      </c>
      <c r="E785" s="31" t="s">
        <v>86</v>
      </c>
      <c r="F785" s="30">
        <v>0</v>
      </c>
      <c r="G785" s="30">
        <v>180</v>
      </c>
      <c r="H785" s="30">
        <v>4400</v>
      </c>
      <c r="I785" s="30">
        <v>4220</v>
      </c>
      <c r="J785" s="30" t="s">
        <v>80</v>
      </c>
      <c r="K785" s="32" t="s">
        <v>93</v>
      </c>
    </row>
    <row r="786" spans="1:11" ht="14.5" x14ac:dyDescent="0.35">
      <c r="A786" s="33">
        <v>45966</v>
      </c>
      <c r="B786" s="30" t="s">
        <v>4</v>
      </c>
      <c r="C786" s="31" t="str">
        <f>VLOOKUP(B786,'Kode Data'!$B$3:$C$23,2,0)</f>
        <v>Gandum Hard Wheat</v>
      </c>
      <c r="D786" s="30" t="str">
        <f>VLOOKUP(LEFT(B786,2),'Kode Data'!$E$3:$G$6,3,0)</f>
        <v>Bahan Baku</v>
      </c>
      <c r="E786" s="31" t="s">
        <v>89</v>
      </c>
      <c r="F786" s="30">
        <v>0</v>
      </c>
      <c r="G786" s="30">
        <v>500</v>
      </c>
      <c r="H786" s="30">
        <v>3800</v>
      </c>
      <c r="I786" s="30">
        <v>3300</v>
      </c>
      <c r="J786" s="30" t="s">
        <v>87</v>
      </c>
      <c r="K786" s="32" t="s">
        <v>104</v>
      </c>
    </row>
    <row r="787" spans="1:11" ht="14.5" x14ac:dyDescent="0.35">
      <c r="A787" s="33">
        <v>45966</v>
      </c>
      <c r="B787" s="30" t="s">
        <v>9</v>
      </c>
      <c r="C787" s="31" t="str">
        <f>VLOOKUP(B787,'Kode Data'!$B$3:$C$23,2,0)</f>
        <v>Gandum Soft Wheat</v>
      </c>
      <c r="D787" s="30" t="str">
        <f>VLOOKUP(LEFT(B787,2),'Kode Data'!$E$3:$G$6,3,0)</f>
        <v>Bahan Baku</v>
      </c>
      <c r="E787" s="31" t="s">
        <v>89</v>
      </c>
      <c r="F787" s="30">
        <v>500</v>
      </c>
      <c r="G787" s="30">
        <v>0</v>
      </c>
      <c r="H787" s="30">
        <v>2600</v>
      </c>
      <c r="I787" s="30">
        <v>3100</v>
      </c>
      <c r="J787" s="30" t="s">
        <v>87</v>
      </c>
      <c r="K787" s="32" t="s">
        <v>88</v>
      </c>
    </row>
    <row r="788" spans="1:11" ht="14.5" x14ac:dyDescent="0.35">
      <c r="A788" s="29">
        <v>45967</v>
      </c>
      <c r="B788" s="30" t="s">
        <v>66</v>
      </c>
      <c r="C788" s="31" t="str">
        <f>VLOOKUP(B788,'Kode Data'!$B$3:$C$23,2,0)</f>
        <v>Tepung Terigu Khusus Roti</v>
      </c>
      <c r="D788" s="30" t="str">
        <f>VLOOKUP(LEFT(B788,2),'Kode Data'!$E$3:$G$6,3,0)</f>
        <v>Produk</v>
      </c>
      <c r="E788" s="31" t="s">
        <v>82</v>
      </c>
      <c r="F788" s="30">
        <v>500</v>
      </c>
      <c r="G788" s="30">
        <v>0</v>
      </c>
      <c r="H788" s="30">
        <v>1750</v>
      </c>
      <c r="I788" s="30">
        <v>2250</v>
      </c>
      <c r="J788" s="30" t="s">
        <v>80</v>
      </c>
      <c r="K788" s="32" t="s">
        <v>81</v>
      </c>
    </row>
    <row r="789" spans="1:11" ht="14.5" x14ac:dyDescent="0.35">
      <c r="A789" s="29">
        <v>45970</v>
      </c>
      <c r="B789" s="30" t="s">
        <v>42</v>
      </c>
      <c r="C789" s="31" t="str">
        <f>VLOOKUP(B789,'Kode Data'!$B$3:$C$23,2,0)</f>
        <v>Calcium Propionate</v>
      </c>
      <c r="D789" s="30" t="str">
        <f>VLOOKUP(LEFT(B789,2),'Kode Data'!$E$3:$G$6,3,0)</f>
        <v>Bahan Tambahan</v>
      </c>
      <c r="E789" s="31" t="s">
        <v>111</v>
      </c>
      <c r="F789" s="30">
        <v>0</v>
      </c>
      <c r="G789" s="30">
        <v>30</v>
      </c>
      <c r="H789" s="30">
        <v>700</v>
      </c>
      <c r="I789" s="30">
        <v>670</v>
      </c>
      <c r="J789" s="30" t="s">
        <v>87</v>
      </c>
      <c r="K789" s="32" t="s">
        <v>104</v>
      </c>
    </row>
    <row r="790" spans="1:11" ht="14.5" x14ac:dyDescent="0.35">
      <c r="A790" s="33">
        <v>45970</v>
      </c>
      <c r="B790" s="30" t="s">
        <v>4</v>
      </c>
      <c r="C790" s="31" t="str">
        <f>VLOOKUP(B790,'Kode Data'!$B$3:$C$23,2,0)</f>
        <v>Gandum Hard Wheat</v>
      </c>
      <c r="D790" s="30" t="str">
        <f>VLOOKUP(LEFT(B790,2),'Kode Data'!$E$3:$G$6,3,0)</f>
        <v>Bahan Baku</v>
      </c>
      <c r="E790" s="31" t="s">
        <v>79</v>
      </c>
      <c r="F790" s="30">
        <v>550</v>
      </c>
      <c r="G790" s="30">
        <v>0</v>
      </c>
      <c r="H790" s="30">
        <v>3300</v>
      </c>
      <c r="I790" s="30">
        <v>3850</v>
      </c>
      <c r="J790" s="30" t="s">
        <v>87</v>
      </c>
      <c r="K790" s="32" t="s">
        <v>88</v>
      </c>
    </row>
    <row r="791" spans="1:11" ht="14.5" x14ac:dyDescent="0.35">
      <c r="A791" s="33">
        <v>45971</v>
      </c>
      <c r="B791" s="30" t="s">
        <v>56</v>
      </c>
      <c r="C791" s="31" t="str">
        <f>VLOOKUP(B791,'Kode Data'!$B$3:$C$23,2,0)</f>
        <v>Label Produk</v>
      </c>
      <c r="D791" s="30" t="str">
        <f>VLOOKUP(LEFT(B791,2),'Kode Data'!$E$3:$G$6,3,0)</f>
        <v>Kemasan</v>
      </c>
      <c r="E791" s="31" t="s">
        <v>103</v>
      </c>
      <c r="F791" s="30">
        <v>0</v>
      </c>
      <c r="G791" s="30">
        <v>450</v>
      </c>
      <c r="H791" s="30">
        <v>2650</v>
      </c>
      <c r="I791" s="30">
        <v>2200</v>
      </c>
      <c r="J791" s="30" t="s">
        <v>80</v>
      </c>
      <c r="K791" s="32" t="s">
        <v>93</v>
      </c>
    </row>
    <row r="792" spans="1:11" ht="14.5" x14ac:dyDescent="0.35">
      <c r="A792" s="33">
        <v>45971</v>
      </c>
      <c r="B792" s="30" t="s">
        <v>19</v>
      </c>
      <c r="C792" s="31" t="str">
        <f>VLOOKUP(B792,'Kode Data'!$B$3:$C$23,2,0)</f>
        <v>Bran Gandum</v>
      </c>
      <c r="D792" s="30" t="str">
        <f>VLOOKUP(LEFT(B792,2),'Kode Data'!$E$3:$G$6,3,0)</f>
        <v>Bahan Baku</v>
      </c>
      <c r="E792" s="31" t="s">
        <v>118</v>
      </c>
      <c r="F792" s="30">
        <v>0</v>
      </c>
      <c r="G792" s="30">
        <v>300</v>
      </c>
      <c r="H792" s="30">
        <v>2950</v>
      </c>
      <c r="I792" s="30">
        <v>2650</v>
      </c>
      <c r="J792" s="30" t="s">
        <v>87</v>
      </c>
      <c r="K792" s="32" t="s">
        <v>104</v>
      </c>
    </row>
    <row r="793" spans="1:11" ht="14.5" x14ac:dyDescent="0.35">
      <c r="A793" s="33">
        <v>45971</v>
      </c>
      <c r="B793" s="30" t="s">
        <v>24</v>
      </c>
      <c r="C793" s="31" t="str">
        <f>VLOOKUP(B793,'Kode Data'!$B$3:$C$23,2,0)</f>
        <v>Germ Gandum</v>
      </c>
      <c r="D793" s="30" t="str">
        <f>VLOOKUP(LEFT(B793,2),'Kode Data'!$E$3:$G$6,3,0)</f>
        <v>Bahan Baku</v>
      </c>
      <c r="E793" s="31" t="s">
        <v>98</v>
      </c>
      <c r="F793" s="30">
        <v>0</v>
      </c>
      <c r="G793" s="30">
        <v>200</v>
      </c>
      <c r="H793" s="30">
        <v>2420</v>
      </c>
      <c r="I793" s="30">
        <v>2220</v>
      </c>
      <c r="J793" s="30" t="s">
        <v>87</v>
      </c>
      <c r="K793" s="32" t="s">
        <v>104</v>
      </c>
    </row>
    <row r="794" spans="1:11" ht="14.5" x14ac:dyDescent="0.35">
      <c r="A794" s="29">
        <v>45972</v>
      </c>
      <c r="B794" s="30" t="s">
        <v>34</v>
      </c>
      <c r="C794" s="31" t="str">
        <f>VLOOKUP(B794,'Kode Data'!$B$3:$C$23,2,0)</f>
        <v>Tepung Premix</v>
      </c>
      <c r="D794" s="30" t="str">
        <f>VLOOKUP(LEFT(B794,2),'Kode Data'!$E$3:$G$6,3,0)</f>
        <v>Bahan Tambahan</v>
      </c>
      <c r="E794" s="31" t="s">
        <v>89</v>
      </c>
      <c r="F794" s="30">
        <v>0</v>
      </c>
      <c r="G794" s="30">
        <v>210</v>
      </c>
      <c r="H794" s="30">
        <v>1060</v>
      </c>
      <c r="I794" s="30">
        <v>850</v>
      </c>
      <c r="J794" s="30" t="s">
        <v>87</v>
      </c>
      <c r="K794" s="32" t="s">
        <v>104</v>
      </c>
    </row>
    <row r="795" spans="1:11" ht="14.5" x14ac:dyDescent="0.35">
      <c r="A795" s="33">
        <v>45972</v>
      </c>
      <c r="B795" s="30" t="s">
        <v>54</v>
      </c>
      <c r="C795" s="31" t="str">
        <f>VLOOKUP(B795,'Kode Data'!$B$3:$C$23,2,0)</f>
        <v>Karton Box</v>
      </c>
      <c r="D795" s="30" t="str">
        <f>VLOOKUP(LEFT(B795,2),'Kode Data'!$E$3:$G$6,3,0)</f>
        <v>Kemasan</v>
      </c>
      <c r="E795" s="31" t="s">
        <v>114</v>
      </c>
      <c r="F795" s="30">
        <v>0</v>
      </c>
      <c r="G795" s="30">
        <v>500</v>
      </c>
      <c r="H795" s="30">
        <v>13650</v>
      </c>
      <c r="I795" s="30">
        <v>13150</v>
      </c>
      <c r="J795" s="30" t="s">
        <v>80</v>
      </c>
      <c r="K795" s="32" t="s">
        <v>93</v>
      </c>
    </row>
    <row r="796" spans="1:11" ht="14.5" x14ac:dyDescent="0.35">
      <c r="A796" s="29">
        <v>45973</v>
      </c>
      <c r="B796" s="30" t="s">
        <v>38</v>
      </c>
      <c r="C796" s="31" t="str">
        <f>VLOOKUP(B796,'Kode Data'!$B$3:$C$23,2,0)</f>
        <v>Improver Tepung</v>
      </c>
      <c r="D796" s="30" t="str">
        <f>VLOOKUP(LEFT(B796,2),'Kode Data'!$E$3:$G$6,3,0)</f>
        <v>Bahan Tambahan</v>
      </c>
      <c r="E796" s="31" t="s">
        <v>117</v>
      </c>
      <c r="F796" s="30">
        <v>0</v>
      </c>
      <c r="G796" s="30">
        <v>150</v>
      </c>
      <c r="H796" s="30">
        <v>580</v>
      </c>
      <c r="I796" s="30">
        <v>430</v>
      </c>
      <c r="J796" s="30" t="s">
        <v>87</v>
      </c>
      <c r="K796" s="32" t="s">
        <v>104</v>
      </c>
    </row>
    <row r="797" spans="1:11" ht="14.5" x14ac:dyDescent="0.35">
      <c r="A797" s="29">
        <v>45973</v>
      </c>
      <c r="B797" s="30" t="s">
        <v>60</v>
      </c>
      <c r="C797" s="31" t="str">
        <f>VLOOKUP(B797,'Kode Data'!$B$3:$C$23,2,0)</f>
        <v>Tepung Terigu Protein Tinggi</v>
      </c>
      <c r="D797" s="30" t="str">
        <f>VLOOKUP(LEFT(B797,2),'Kode Data'!$E$3:$G$6,3,0)</f>
        <v>Produk</v>
      </c>
      <c r="E797" s="31" t="s">
        <v>113</v>
      </c>
      <c r="F797" s="30">
        <v>0</v>
      </c>
      <c r="G797" s="30">
        <v>600</v>
      </c>
      <c r="H797" s="30">
        <v>2700</v>
      </c>
      <c r="I797" s="30">
        <v>2100</v>
      </c>
      <c r="J797" s="30" t="s">
        <v>80</v>
      </c>
      <c r="K797" s="32" t="s">
        <v>90</v>
      </c>
    </row>
    <row r="798" spans="1:11" ht="14.5" x14ac:dyDescent="0.35">
      <c r="A798" s="29">
        <v>45973</v>
      </c>
      <c r="B798" s="30" t="s">
        <v>62</v>
      </c>
      <c r="C798" s="31" t="str">
        <f>VLOOKUP(B798,'Kode Data'!$B$3:$C$23,2,0)</f>
        <v>Tepung Terigu Serbaguna</v>
      </c>
      <c r="D798" s="30" t="str">
        <f>VLOOKUP(LEFT(B798,2),'Kode Data'!$E$3:$G$6,3,0)</f>
        <v>Produk</v>
      </c>
      <c r="E798" s="31" t="s">
        <v>89</v>
      </c>
      <c r="F798" s="30">
        <v>0</v>
      </c>
      <c r="G798" s="30">
        <v>600</v>
      </c>
      <c r="H798" s="30">
        <v>3500</v>
      </c>
      <c r="I798" s="30">
        <v>2900</v>
      </c>
      <c r="J798" s="30" t="s">
        <v>80</v>
      </c>
      <c r="K798" s="32" t="s">
        <v>90</v>
      </c>
    </row>
    <row r="799" spans="1:11" ht="14.5" x14ac:dyDescent="0.35">
      <c r="A799" s="33">
        <v>45973</v>
      </c>
      <c r="B799" s="30" t="s">
        <v>52</v>
      </c>
      <c r="C799" s="31" t="str">
        <f>VLOOKUP(B799,'Kode Data'!$B$3:$C$23,2,0)</f>
        <v>Plastik Kemasan 500 gr</v>
      </c>
      <c r="D799" s="30" t="str">
        <f>VLOOKUP(LEFT(B799,2),'Kode Data'!$E$3:$G$6,3,0)</f>
        <v>Kemasan</v>
      </c>
      <c r="E799" s="31" t="s">
        <v>84</v>
      </c>
      <c r="F799" s="30">
        <v>0</v>
      </c>
      <c r="G799" s="30">
        <v>350</v>
      </c>
      <c r="H799" s="30">
        <v>9100</v>
      </c>
      <c r="I799" s="30">
        <v>8750</v>
      </c>
      <c r="J799" s="30" t="s">
        <v>80</v>
      </c>
      <c r="K799" s="32" t="s">
        <v>93</v>
      </c>
    </row>
    <row r="800" spans="1:11" ht="14.5" x14ac:dyDescent="0.35">
      <c r="A800" s="33">
        <v>45973</v>
      </c>
      <c r="B800" s="30" t="s">
        <v>58</v>
      </c>
      <c r="C800" s="31" t="str">
        <f>VLOOKUP(B800,'Kode Data'!$B$3:$C$23,2,0)</f>
        <v>Pallet Kayu</v>
      </c>
      <c r="D800" s="30" t="str">
        <f>VLOOKUP(LEFT(B800,2),'Kode Data'!$E$3:$G$6,3,0)</f>
        <v>Kemasan</v>
      </c>
      <c r="E800" s="31" t="s">
        <v>94</v>
      </c>
      <c r="F800" s="30">
        <v>0</v>
      </c>
      <c r="G800" s="30">
        <v>60</v>
      </c>
      <c r="H800" s="30">
        <v>380</v>
      </c>
      <c r="I800" s="30">
        <v>320</v>
      </c>
      <c r="J800" s="30" t="s">
        <v>80</v>
      </c>
      <c r="K800" s="32" t="s">
        <v>93</v>
      </c>
    </row>
    <row r="801" spans="1:11" ht="14.5" x14ac:dyDescent="0.35">
      <c r="A801" s="33">
        <v>45973</v>
      </c>
      <c r="B801" s="30" t="s">
        <v>14</v>
      </c>
      <c r="C801" s="31" t="str">
        <f>VLOOKUP(B801,'Kode Data'!$B$3:$C$23,2,0)</f>
        <v>Gandum Durum</v>
      </c>
      <c r="D801" s="30" t="str">
        <f>VLOOKUP(LEFT(B801,2),'Kode Data'!$E$3:$G$6,3,0)</f>
        <v>Bahan Baku</v>
      </c>
      <c r="E801" s="31" t="s">
        <v>89</v>
      </c>
      <c r="F801" s="30">
        <v>0</v>
      </c>
      <c r="G801" s="30">
        <v>330</v>
      </c>
      <c r="H801" s="30">
        <v>1870</v>
      </c>
      <c r="I801" s="30">
        <v>1540</v>
      </c>
      <c r="J801" s="30" t="s">
        <v>87</v>
      </c>
      <c r="K801" s="32" t="s">
        <v>104</v>
      </c>
    </row>
    <row r="802" spans="1:11" ht="14.5" x14ac:dyDescent="0.35">
      <c r="A802" s="29">
        <v>45974</v>
      </c>
      <c r="B802" s="30" t="s">
        <v>26</v>
      </c>
      <c r="C802" s="31" t="str">
        <f>VLOOKUP(B802,'Kode Data'!$B$3:$C$23,2,0)</f>
        <v>Enzim Baking</v>
      </c>
      <c r="D802" s="30" t="str">
        <f>VLOOKUP(LEFT(B802,2),'Kode Data'!$E$3:$G$6,3,0)</f>
        <v>Bahan Tambahan</v>
      </c>
      <c r="E802" s="31" t="s">
        <v>115</v>
      </c>
      <c r="F802" s="30">
        <v>0</v>
      </c>
      <c r="G802" s="30">
        <v>100</v>
      </c>
      <c r="H802" s="30">
        <v>400</v>
      </c>
      <c r="I802" s="30">
        <v>300</v>
      </c>
      <c r="J802" s="30" t="s">
        <v>87</v>
      </c>
      <c r="K802" s="32" t="s">
        <v>104</v>
      </c>
    </row>
    <row r="803" spans="1:11" ht="14.5" x14ac:dyDescent="0.35">
      <c r="A803" s="29">
        <v>45974</v>
      </c>
      <c r="B803" s="30" t="s">
        <v>30</v>
      </c>
      <c r="C803" s="31" t="str">
        <f>VLOOKUP(B803,'Kode Data'!$B$3:$C$23,2,0)</f>
        <v>Vitamin Fortifikasi</v>
      </c>
      <c r="D803" s="30" t="str">
        <f>VLOOKUP(LEFT(B803,2),'Kode Data'!$E$3:$G$6,3,0)</f>
        <v>Bahan Tambahan</v>
      </c>
      <c r="E803" s="31" t="s">
        <v>119</v>
      </c>
      <c r="F803" s="30">
        <v>0</v>
      </c>
      <c r="G803" s="30">
        <v>100</v>
      </c>
      <c r="H803" s="30">
        <v>955</v>
      </c>
      <c r="I803" s="30">
        <v>855</v>
      </c>
      <c r="J803" s="30" t="s">
        <v>87</v>
      </c>
      <c r="K803" s="32" t="s">
        <v>104</v>
      </c>
    </row>
    <row r="804" spans="1:11" ht="14.5" x14ac:dyDescent="0.35">
      <c r="A804" s="33">
        <v>45974</v>
      </c>
      <c r="B804" s="30" t="s">
        <v>9</v>
      </c>
      <c r="C804" s="31" t="str">
        <f>VLOOKUP(B804,'Kode Data'!$B$3:$C$23,2,0)</f>
        <v>Gandum Soft Wheat</v>
      </c>
      <c r="D804" s="30" t="str">
        <f>VLOOKUP(LEFT(B804,2),'Kode Data'!$E$3:$G$6,3,0)</f>
        <v>Bahan Baku</v>
      </c>
      <c r="E804" s="31" t="s">
        <v>98</v>
      </c>
      <c r="F804" s="30">
        <v>0</v>
      </c>
      <c r="G804" s="30">
        <v>400</v>
      </c>
      <c r="H804" s="30">
        <v>3100</v>
      </c>
      <c r="I804" s="30">
        <v>2700</v>
      </c>
      <c r="J804" s="30" t="s">
        <v>87</v>
      </c>
      <c r="K804" s="32" t="s">
        <v>104</v>
      </c>
    </row>
    <row r="805" spans="1:11" ht="14.5" x14ac:dyDescent="0.35">
      <c r="A805" s="33">
        <v>45975</v>
      </c>
      <c r="B805" s="30" t="s">
        <v>4</v>
      </c>
      <c r="C805" s="31" t="str">
        <f>VLOOKUP(B805,'Kode Data'!$B$3:$C$23,2,0)</f>
        <v>Gandum Hard Wheat</v>
      </c>
      <c r="D805" s="30" t="str">
        <f>VLOOKUP(LEFT(B805,2),'Kode Data'!$E$3:$G$6,3,0)</f>
        <v>Bahan Baku</v>
      </c>
      <c r="E805" s="31" t="s">
        <v>98</v>
      </c>
      <c r="F805" s="30">
        <v>0</v>
      </c>
      <c r="G805" s="30">
        <v>450</v>
      </c>
      <c r="H805" s="30">
        <v>3850</v>
      </c>
      <c r="I805" s="30">
        <v>3400</v>
      </c>
      <c r="J805" s="30" t="s">
        <v>87</v>
      </c>
      <c r="K805" s="32" t="s">
        <v>104</v>
      </c>
    </row>
    <row r="806" spans="1:11" ht="14.5" x14ac:dyDescent="0.35">
      <c r="A806" s="29">
        <v>45978</v>
      </c>
      <c r="B806" s="30" t="s">
        <v>42</v>
      </c>
      <c r="C806" s="31" t="str">
        <f>VLOOKUP(B806,'Kode Data'!$B$3:$C$23,2,0)</f>
        <v>Calcium Propionate</v>
      </c>
      <c r="D806" s="30" t="str">
        <f>VLOOKUP(LEFT(B806,2),'Kode Data'!$E$3:$G$6,3,0)</f>
        <v>Bahan Tambahan</v>
      </c>
      <c r="E806" s="31" t="s">
        <v>121</v>
      </c>
      <c r="F806" s="30">
        <v>55</v>
      </c>
      <c r="G806" s="30">
        <v>0</v>
      </c>
      <c r="H806" s="30">
        <v>670</v>
      </c>
      <c r="I806" s="30">
        <v>725</v>
      </c>
      <c r="J806" s="30" t="s">
        <v>87</v>
      </c>
      <c r="K806" s="32" t="s">
        <v>116</v>
      </c>
    </row>
    <row r="807" spans="1:11" ht="14.5" x14ac:dyDescent="0.35">
      <c r="A807" s="33">
        <v>45978</v>
      </c>
      <c r="B807" s="30" t="s">
        <v>56</v>
      </c>
      <c r="C807" s="31" t="str">
        <f>VLOOKUP(B807,'Kode Data'!$B$3:$C$23,2,0)</f>
        <v>Label Produk</v>
      </c>
      <c r="D807" s="30" t="str">
        <f>VLOOKUP(LEFT(B807,2),'Kode Data'!$E$3:$G$6,3,0)</f>
        <v>Kemasan</v>
      </c>
      <c r="E807" s="31" t="s">
        <v>120</v>
      </c>
      <c r="F807" s="30">
        <v>300</v>
      </c>
      <c r="G807" s="30">
        <v>0</v>
      </c>
      <c r="H807" s="30">
        <v>2200</v>
      </c>
      <c r="I807" s="30">
        <v>2500</v>
      </c>
      <c r="J807" s="30" t="s">
        <v>80</v>
      </c>
      <c r="K807" s="32" t="s">
        <v>85</v>
      </c>
    </row>
    <row r="808" spans="1:11" ht="14.5" x14ac:dyDescent="0.35">
      <c r="A808" s="33">
        <v>45978</v>
      </c>
      <c r="B808" s="30" t="s">
        <v>19</v>
      </c>
      <c r="C808" s="31" t="str">
        <f>VLOOKUP(B808,'Kode Data'!$B$3:$C$23,2,0)</f>
        <v>Bran Gandum</v>
      </c>
      <c r="D808" s="30" t="str">
        <f>VLOOKUP(LEFT(B808,2),'Kode Data'!$E$3:$G$6,3,0)</f>
        <v>Bahan Baku</v>
      </c>
      <c r="E808" s="31" t="s">
        <v>79</v>
      </c>
      <c r="F808" s="30">
        <v>350</v>
      </c>
      <c r="G808" s="30">
        <v>0</v>
      </c>
      <c r="H808" s="30">
        <v>2650</v>
      </c>
      <c r="I808" s="30">
        <v>3000</v>
      </c>
      <c r="J808" s="30" t="s">
        <v>87</v>
      </c>
      <c r="K808" s="32" t="s">
        <v>110</v>
      </c>
    </row>
    <row r="809" spans="1:11" ht="14.5" x14ac:dyDescent="0.35">
      <c r="A809" s="33">
        <v>45979</v>
      </c>
      <c r="B809" s="30" t="s">
        <v>54</v>
      </c>
      <c r="C809" s="31" t="str">
        <f>VLOOKUP(B809,'Kode Data'!$B$3:$C$23,2,0)</f>
        <v>Karton Box</v>
      </c>
      <c r="D809" s="30" t="str">
        <f>VLOOKUP(LEFT(B809,2),'Kode Data'!$E$3:$G$6,3,0)</f>
        <v>Kemasan</v>
      </c>
      <c r="E809" s="31" t="s">
        <v>97</v>
      </c>
      <c r="F809" s="30">
        <v>800</v>
      </c>
      <c r="G809" s="30">
        <v>0</v>
      </c>
      <c r="H809" s="30">
        <v>13150</v>
      </c>
      <c r="I809" s="30">
        <v>13950</v>
      </c>
      <c r="J809" s="30" t="s">
        <v>80</v>
      </c>
      <c r="K809" s="32" t="s">
        <v>85</v>
      </c>
    </row>
    <row r="810" spans="1:11" ht="14.5" x14ac:dyDescent="0.35">
      <c r="A810" s="33">
        <v>45979</v>
      </c>
      <c r="B810" s="30" t="s">
        <v>14</v>
      </c>
      <c r="C810" s="31" t="str">
        <f>VLOOKUP(B810,'Kode Data'!$B$3:$C$23,2,0)</f>
        <v>Gandum Durum</v>
      </c>
      <c r="D810" s="30" t="str">
        <f>VLOOKUP(LEFT(B810,2),'Kode Data'!$E$3:$G$6,3,0)</f>
        <v>Bahan Baku</v>
      </c>
      <c r="E810" s="31" t="s">
        <v>79</v>
      </c>
      <c r="F810" s="30">
        <v>300</v>
      </c>
      <c r="G810" s="30">
        <v>0</v>
      </c>
      <c r="H810" s="30">
        <v>1540</v>
      </c>
      <c r="I810" s="30">
        <v>1840</v>
      </c>
      <c r="J810" s="30" t="s">
        <v>87</v>
      </c>
      <c r="K810" s="32" t="s">
        <v>110</v>
      </c>
    </row>
    <row r="811" spans="1:11" ht="14.5" x14ac:dyDescent="0.35">
      <c r="A811" s="33">
        <v>45979</v>
      </c>
      <c r="B811" s="30" t="s">
        <v>24</v>
      </c>
      <c r="C811" s="31" t="str">
        <f>VLOOKUP(B811,'Kode Data'!$B$3:$C$23,2,0)</f>
        <v>Germ Gandum</v>
      </c>
      <c r="D811" s="30" t="str">
        <f>VLOOKUP(LEFT(B811,2),'Kode Data'!$E$3:$G$6,3,0)</f>
        <v>Bahan Baku</v>
      </c>
      <c r="E811" s="31" t="s">
        <v>79</v>
      </c>
      <c r="F811" s="30">
        <v>250</v>
      </c>
      <c r="G811" s="30">
        <v>0</v>
      </c>
      <c r="H811" s="30">
        <v>2220</v>
      </c>
      <c r="I811" s="30">
        <v>2470</v>
      </c>
      <c r="J811" s="30" t="s">
        <v>87</v>
      </c>
      <c r="K811" s="32" t="s">
        <v>110</v>
      </c>
    </row>
    <row r="812" spans="1:11" ht="14.5" x14ac:dyDescent="0.35">
      <c r="A812" s="29">
        <v>45980</v>
      </c>
      <c r="B812" s="30" t="s">
        <v>34</v>
      </c>
      <c r="C812" s="31" t="str">
        <f>VLOOKUP(B812,'Kode Data'!$B$3:$C$23,2,0)</f>
        <v>Tepung Premix</v>
      </c>
      <c r="D812" s="30" t="str">
        <f>VLOOKUP(LEFT(B812,2),'Kode Data'!$E$3:$G$6,3,0)</f>
        <v>Bahan Tambahan</v>
      </c>
      <c r="E812" s="31" t="s">
        <v>82</v>
      </c>
      <c r="F812" s="30">
        <v>190</v>
      </c>
      <c r="G812" s="30">
        <v>0</v>
      </c>
      <c r="H812" s="30">
        <v>850</v>
      </c>
      <c r="I812" s="30">
        <v>1040</v>
      </c>
      <c r="J812" s="30" t="s">
        <v>87</v>
      </c>
      <c r="K812" s="32" t="s">
        <v>96</v>
      </c>
    </row>
    <row r="813" spans="1:11" ht="14.5" x14ac:dyDescent="0.35">
      <c r="A813" s="33">
        <v>45980</v>
      </c>
      <c r="B813" s="30" t="s">
        <v>9</v>
      </c>
      <c r="C813" s="31" t="str">
        <f>VLOOKUP(B813,'Kode Data'!$B$3:$C$23,2,0)</f>
        <v>Gandum Soft Wheat</v>
      </c>
      <c r="D813" s="30" t="str">
        <f>VLOOKUP(LEFT(B813,2),'Kode Data'!$E$3:$G$6,3,0)</f>
        <v>Bahan Baku</v>
      </c>
      <c r="E813" s="31" t="s">
        <v>79</v>
      </c>
      <c r="F813" s="30">
        <v>350</v>
      </c>
      <c r="G813" s="30">
        <v>0</v>
      </c>
      <c r="H813" s="30">
        <v>2700</v>
      </c>
      <c r="I813" s="30">
        <v>3050</v>
      </c>
      <c r="J813" s="30" t="s">
        <v>87</v>
      </c>
      <c r="K813" s="32" t="s">
        <v>110</v>
      </c>
    </row>
    <row r="814" spans="1:11" ht="14.5" x14ac:dyDescent="0.35">
      <c r="A814" s="29">
        <v>45981</v>
      </c>
      <c r="B814" s="30" t="s">
        <v>38</v>
      </c>
      <c r="C814" s="31" t="str">
        <f>VLOOKUP(B814,'Kode Data'!$B$3:$C$23,2,0)</f>
        <v>Improver Tepung</v>
      </c>
      <c r="D814" s="30" t="str">
        <f>VLOOKUP(LEFT(B814,2),'Kode Data'!$E$3:$G$6,3,0)</f>
        <v>Bahan Tambahan</v>
      </c>
      <c r="E814" s="31" t="s">
        <v>95</v>
      </c>
      <c r="F814" s="30">
        <v>140</v>
      </c>
      <c r="G814" s="30">
        <v>0</v>
      </c>
      <c r="H814" s="30">
        <v>430</v>
      </c>
      <c r="I814" s="30">
        <v>570</v>
      </c>
      <c r="J814" s="30" t="s">
        <v>87</v>
      </c>
      <c r="K814" s="32" t="s">
        <v>116</v>
      </c>
    </row>
    <row r="815" spans="1:11" ht="14.5" x14ac:dyDescent="0.35">
      <c r="A815" s="29">
        <v>45981</v>
      </c>
      <c r="B815" s="30" t="s">
        <v>60</v>
      </c>
      <c r="C815" s="31" t="str">
        <f>VLOOKUP(B815,'Kode Data'!$B$3:$C$23,2,0)</f>
        <v>Tepung Terigu Protein Tinggi</v>
      </c>
      <c r="D815" s="30" t="str">
        <f>VLOOKUP(LEFT(B815,2),'Kode Data'!$E$3:$G$6,3,0)</f>
        <v>Produk</v>
      </c>
      <c r="E815" s="31" t="s">
        <v>102</v>
      </c>
      <c r="F815" s="30">
        <v>500</v>
      </c>
      <c r="G815" s="30">
        <v>0</v>
      </c>
      <c r="H815" s="30">
        <v>2100</v>
      </c>
      <c r="I815" s="30">
        <v>2600</v>
      </c>
      <c r="J815" s="30" t="s">
        <v>80</v>
      </c>
      <c r="K815" s="32" t="s">
        <v>81</v>
      </c>
    </row>
    <row r="816" spans="1:11" ht="14.5" x14ac:dyDescent="0.35">
      <c r="A816" s="33">
        <v>45981</v>
      </c>
      <c r="B816" s="30" t="s">
        <v>58</v>
      </c>
      <c r="C816" s="31" t="str">
        <f>VLOOKUP(B816,'Kode Data'!$B$3:$C$23,2,0)</f>
        <v>Pallet Kayu</v>
      </c>
      <c r="D816" s="30" t="str">
        <f>VLOOKUP(LEFT(B816,2),'Kode Data'!$E$3:$G$6,3,0)</f>
        <v>Kemasan</v>
      </c>
      <c r="E816" s="31" t="s">
        <v>105</v>
      </c>
      <c r="F816" s="30">
        <v>50</v>
      </c>
      <c r="G816" s="30">
        <v>0</v>
      </c>
      <c r="H816" s="30">
        <v>320</v>
      </c>
      <c r="I816" s="30">
        <v>370</v>
      </c>
      <c r="J816" s="30" t="s">
        <v>80</v>
      </c>
      <c r="K816" s="32" t="s">
        <v>85</v>
      </c>
    </row>
    <row r="817" spans="1:11" ht="14.5" x14ac:dyDescent="0.35">
      <c r="A817" s="29">
        <v>45982</v>
      </c>
      <c r="B817" s="30" t="s">
        <v>26</v>
      </c>
      <c r="C817" s="31" t="str">
        <f>VLOOKUP(B817,'Kode Data'!$B$3:$C$23,2,0)</f>
        <v>Enzim Baking</v>
      </c>
      <c r="D817" s="30" t="str">
        <f>VLOOKUP(LEFT(B817,2),'Kode Data'!$E$3:$G$6,3,0)</f>
        <v>Bahan Tambahan</v>
      </c>
      <c r="E817" s="31" t="s">
        <v>100</v>
      </c>
      <c r="F817" s="30">
        <v>85</v>
      </c>
      <c r="G817" s="30">
        <v>0</v>
      </c>
      <c r="H817" s="30">
        <v>300</v>
      </c>
      <c r="I817" s="30">
        <v>385</v>
      </c>
      <c r="J817" s="30" t="s">
        <v>87</v>
      </c>
      <c r="K817" s="32" t="s">
        <v>116</v>
      </c>
    </row>
    <row r="818" spans="1:11" ht="14.5" x14ac:dyDescent="0.35">
      <c r="A818" s="29">
        <v>45982</v>
      </c>
      <c r="B818" s="30" t="s">
        <v>30</v>
      </c>
      <c r="C818" s="31" t="str">
        <f>VLOOKUP(B818,'Kode Data'!$B$3:$C$23,2,0)</f>
        <v>Vitamin Fortifikasi</v>
      </c>
      <c r="D818" s="30" t="str">
        <f>VLOOKUP(LEFT(B818,2),'Kode Data'!$E$3:$G$6,3,0)</f>
        <v>Bahan Tambahan</v>
      </c>
      <c r="E818" s="31" t="s">
        <v>101</v>
      </c>
      <c r="F818" s="30">
        <v>140</v>
      </c>
      <c r="G818" s="30">
        <v>0</v>
      </c>
      <c r="H818" s="30">
        <v>855</v>
      </c>
      <c r="I818" s="30">
        <v>995</v>
      </c>
      <c r="J818" s="30" t="s">
        <v>87</v>
      </c>
      <c r="K818" s="32" t="s">
        <v>116</v>
      </c>
    </row>
    <row r="819" spans="1:11" ht="14.5" x14ac:dyDescent="0.35">
      <c r="A819" s="29">
        <v>45982</v>
      </c>
      <c r="B819" s="30" t="s">
        <v>62</v>
      </c>
      <c r="C819" s="31" t="str">
        <f>VLOOKUP(B819,'Kode Data'!$B$3:$C$23,2,0)</f>
        <v>Tepung Terigu Serbaguna</v>
      </c>
      <c r="D819" s="30" t="str">
        <f>VLOOKUP(LEFT(B819,2),'Kode Data'!$E$3:$G$6,3,0)</f>
        <v>Produk</v>
      </c>
      <c r="E819" s="31" t="s">
        <v>82</v>
      </c>
      <c r="F819" s="30">
        <v>700</v>
      </c>
      <c r="G819" s="30">
        <v>0</v>
      </c>
      <c r="H819" s="30">
        <v>2900</v>
      </c>
      <c r="I819" s="30">
        <v>3600</v>
      </c>
      <c r="J819" s="30" t="s">
        <v>80</v>
      </c>
      <c r="K819" s="32" t="s">
        <v>81</v>
      </c>
    </row>
    <row r="820" spans="1:11" ht="14.5" x14ac:dyDescent="0.35">
      <c r="A820" s="33">
        <v>45982</v>
      </c>
      <c r="B820" s="30" t="s">
        <v>4</v>
      </c>
      <c r="C820" s="31" t="str">
        <f>VLOOKUP(B820,'Kode Data'!$B$3:$C$23,2,0)</f>
        <v>Gandum Hard Wheat</v>
      </c>
      <c r="D820" s="30" t="str">
        <f>VLOOKUP(LEFT(B820,2),'Kode Data'!$E$3:$G$6,3,0)</f>
        <v>Bahan Baku</v>
      </c>
      <c r="E820" s="31" t="s">
        <v>89</v>
      </c>
      <c r="F820" s="30">
        <v>600</v>
      </c>
      <c r="G820" s="30">
        <v>0</v>
      </c>
      <c r="H820" s="30">
        <v>3400</v>
      </c>
      <c r="I820" s="30">
        <v>4000</v>
      </c>
      <c r="J820" s="30" t="s">
        <v>87</v>
      </c>
      <c r="K820" s="32" t="s">
        <v>110</v>
      </c>
    </row>
    <row r="821" spans="1:11" ht="14.5" x14ac:dyDescent="0.35">
      <c r="A821" s="29">
        <v>45985</v>
      </c>
      <c r="B821" s="30" t="s">
        <v>68</v>
      </c>
      <c r="C821" s="31" t="str">
        <f>VLOOKUP(B821,'Kode Data'!$B$3:$C$23,2,0)</f>
        <v>Tepung Terigu Khusus Kue</v>
      </c>
      <c r="D821" s="30" t="str">
        <f>VLOOKUP(LEFT(B821,2),'Kode Data'!$E$3:$G$6,3,0)</f>
        <v>Produk</v>
      </c>
      <c r="E821" s="31" t="s">
        <v>91</v>
      </c>
      <c r="F821" s="30">
        <v>550</v>
      </c>
      <c r="G821" s="30">
        <v>0</v>
      </c>
      <c r="H821" s="30">
        <v>3050</v>
      </c>
      <c r="I821" s="30">
        <v>3600</v>
      </c>
      <c r="J821" s="30" t="s">
        <v>80</v>
      </c>
      <c r="K821" s="32" t="s">
        <v>81</v>
      </c>
    </row>
    <row r="822" spans="1:11" ht="14.5" x14ac:dyDescent="0.35">
      <c r="A822" s="29">
        <v>45986</v>
      </c>
      <c r="B822" s="30" t="s">
        <v>42</v>
      </c>
      <c r="C822" s="31" t="str">
        <f>VLOOKUP(B822,'Kode Data'!$B$3:$C$23,2,0)</f>
        <v>Calcium Propionate</v>
      </c>
      <c r="D822" s="30" t="str">
        <f>VLOOKUP(LEFT(B822,2),'Kode Data'!$E$3:$G$6,3,0)</f>
        <v>Bahan Tambahan</v>
      </c>
      <c r="E822" s="31" t="s">
        <v>95</v>
      </c>
      <c r="F822" s="30">
        <v>0</v>
      </c>
      <c r="G822" s="30">
        <v>35</v>
      </c>
      <c r="H822" s="30">
        <v>725</v>
      </c>
      <c r="I822" s="30">
        <v>690</v>
      </c>
      <c r="J822" s="30" t="s">
        <v>87</v>
      </c>
      <c r="K822" s="32" t="s">
        <v>104</v>
      </c>
    </row>
    <row r="823" spans="1:11" ht="14.5" x14ac:dyDescent="0.35">
      <c r="A823" s="33">
        <v>45986</v>
      </c>
      <c r="B823" s="30" t="s">
        <v>52</v>
      </c>
      <c r="C823" s="31" t="str">
        <f>VLOOKUP(B823,'Kode Data'!$B$3:$C$23,2,0)</f>
        <v>Plastik Kemasan 500 gr</v>
      </c>
      <c r="D823" s="30" t="str">
        <f>VLOOKUP(LEFT(B823,2),'Kode Data'!$E$3:$G$6,3,0)</f>
        <v>Kemasan</v>
      </c>
      <c r="E823" s="31" t="s">
        <v>123</v>
      </c>
      <c r="F823" s="30">
        <v>1000</v>
      </c>
      <c r="G823" s="30">
        <v>0</v>
      </c>
      <c r="H823" s="30">
        <v>8750</v>
      </c>
      <c r="I823" s="30">
        <v>9750</v>
      </c>
      <c r="J823" s="30" t="s">
        <v>80</v>
      </c>
      <c r="K823" s="32" t="s">
        <v>85</v>
      </c>
    </row>
    <row r="824" spans="1:11" ht="14.5" x14ac:dyDescent="0.35">
      <c r="A824" s="33">
        <v>45986</v>
      </c>
      <c r="B824" s="30" t="s">
        <v>56</v>
      </c>
      <c r="C824" s="31" t="str">
        <f>VLOOKUP(B824,'Kode Data'!$B$3:$C$23,2,0)</f>
        <v>Label Produk</v>
      </c>
      <c r="D824" s="30" t="str">
        <f>VLOOKUP(LEFT(B824,2),'Kode Data'!$E$3:$G$6,3,0)</f>
        <v>Kemasan</v>
      </c>
      <c r="E824" s="31" t="s">
        <v>120</v>
      </c>
      <c r="F824" s="30">
        <v>0</v>
      </c>
      <c r="G824" s="30">
        <v>400</v>
      </c>
      <c r="H824" s="30">
        <v>2500</v>
      </c>
      <c r="I824" s="30">
        <v>2100</v>
      </c>
      <c r="J824" s="30" t="s">
        <v>80</v>
      </c>
      <c r="K824" s="32" t="s">
        <v>93</v>
      </c>
    </row>
    <row r="825" spans="1:11" ht="14.5" x14ac:dyDescent="0.35">
      <c r="A825" s="33">
        <v>45986</v>
      </c>
      <c r="B825" s="30" t="s">
        <v>9</v>
      </c>
      <c r="C825" s="31" t="str">
        <f>VLOOKUP(B825,'Kode Data'!$B$3:$C$23,2,0)</f>
        <v>Gandum Soft Wheat</v>
      </c>
      <c r="D825" s="30" t="str">
        <f>VLOOKUP(LEFT(B825,2),'Kode Data'!$E$3:$G$6,3,0)</f>
        <v>Bahan Baku</v>
      </c>
      <c r="E825" s="31" t="s">
        <v>89</v>
      </c>
      <c r="F825" s="30">
        <v>0</v>
      </c>
      <c r="G825" s="30">
        <v>300</v>
      </c>
      <c r="H825" s="30">
        <v>3050</v>
      </c>
      <c r="I825" s="30">
        <v>2750</v>
      </c>
      <c r="J825" s="30" t="s">
        <v>87</v>
      </c>
      <c r="K825" s="32" t="s">
        <v>104</v>
      </c>
    </row>
    <row r="826" spans="1:11" ht="14.5" x14ac:dyDescent="0.35">
      <c r="A826" s="33">
        <v>45986</v>
      </c>
      <c r="B826" s="30" t="s">
        <v>19</v>
      </c>
      <c r="C826" s="31" t="str">
        <f>VLOOKUP(B826,'Kode Data'!$B$3:$C$23,2,0)</f>
        <v>Bran Gandum</v>
      </c>
      <c r="D826" s="30" t="str">
        <f>VLOOKUP(LEFT(B826,2),'Kode Data'!$E$3:$G$6,3,0)</f>
        <v>Bahan Baku</v>
      </c>
      <c r="E826" s="31" t="s">
        <v>98</v>
      </c>
      <c r="F826" s="30">
        <v>0</v>
      </c>
      <c r="G826" s="30">
        <v>250</v>
      </c>
      <c r="H826" s="30">
        <v>3000</v>
      </c>
      <c r="I826" s="30">
        <v>2750</v>
      </c>
      <c r="J826" s="30" t="s">
        <v>87</v>
      </c>
      <c r="K826" s="32" t="s">
        <v>104</v>
      </c>
    </row>
    <row r="827" spans="1:11" ht="14.5" x14ac:dyDescent="0.35">
      <c r="A827" s="33">
        <v>45986</v>
      </c>
      <c r="B827" s="30" t="s">
        <v>24</v>
      </c>
      <c r="C827" s="31" t="str">
        <f>VLOOKUP(B827,'Kode Data'!$B$3:$C$23,2,0)</f>
        <v>Germ Gandum</v>
      </c>
      <c r="D827" s="30" t="str">
        <f>VLOOKUP(LEFT(B827,2),'Kode Data'!$E$3:$G$6,3,0)</f>
        <v>Bahan Baku</v>
      </c>
      <c r="E827" s="31" t="s">
        <v>79</v>
      </c>
      <c r="F827" s="30">
        <v>0</v>
      </c>
      <c r="G827" s="30">
        <v>190</v>
      </c>
      <c r="H827" s="30">
        <v>2470</v>
      </c>
      <c r="I827" s="30">
        <v>2280</v>
      </c>
      <c r="J827" s="30" t="s">
        <v>87</v>
      </c>
      <c r="K827" s="32" t="s">
        <v>104</v>
      </c>
    </row>
    <row r="828" spans="1:11" ht="14.5" x14ac:dyDescent="0.35">
      <c r="A828" s="29">
        <v>45987</v>
      </c>
      <c r="B828" s="30" t="s">
        <v>68</v>
      </c>
      <c r="C828" s="31" t="str">
        <f>VLOOKUP(B828,'Kode Data'!$B$3:$C$23,2,0)</f>
        <v>Tepung Terigu Khusus Kue</v>
      </c>
      <c r="D828" s="30" t="str">
        <f>VLOOKUP(LEFT(B828,2),'Kode Data'!$E$3:$G$6,3,0)</f>
        <v>Produk</v>
      </c>
      <c r="E828" s="31" t="s">
        <v>89</v>
      </c>
      <c r="F828" s="30">
        <v>0</v>
      </c>
      <c r="G828" s="30">
        <v>450</v>
      </c>
      <c r="H828" s="30">
        <v>3600</v>
      </c>
      <c r="I828" s="30">
        <v>3150</v>
      </c>
      <c r="J828" s="30" t="s">
        <v>80</v>
      </c>
      <c r="K828" s="32" t="s">
        <v>90</v>
      </c>
    </row>
    <row r="829" spans="1:11" ht="14.5" x14ac:dyDescent="0.35">
      <c r="A829" s="33">
        <v>45987</v>
      </c>
      <c r="B829" s="30" t="s">
        <v>54</v>
      </c>
      <c r="C829" s="31" t="str">
        <f>VLOOKUP(B829,'Kode Data'!$B$3:$C$23,2,0)</f>
        <v>Karton Box</v>
      </c>
      <c r="D829" s="30" t="str">
        <f>VLOOKUP(LEFT(B829,2),'Kode Data'!$E$3:$G$6,3,0)</f>
        <v>Kemasan</v>
      </c>
      <c r="E829" s="31" t="s">
        <v>109</v>
      </c>
      <c r="F829" s="30">
        <v>0</v>
      </c>
      <c r="G829" s="30">
        <v>400</v>
      </c>
      <c r="H829" s="30">
        <v>13950</v>
      </c>
      <c r="I829" s="30">
        <v>13550</v>
      </c>
      <c r="J829" s="30" t="s">
        <v>80</v>
      </c>
      <c r="K829" s="32" t="s">
        <v>93</v>
      </c>
    </row>
    <row r="830" spans="1:11" ht="14.5" x14ac:dyDescent="0.35">
      <c r="A830" s="29">
        <v>45988</v>
      </c>
      <c r="B830" s="30" t="s">
        <v>34</v>
      </c>
      <c r="C830" s="31" t="str">
        <f>VLOOKUP(B830,'Kode Data'!$B$3:$C$23,2,0)</f>
        <v>Tepung Premix</v>
      </c>
      <c r="D830" s="30" t="str">
        <f>VLOOKUP(LEFT(B830,2),'Kode Data'!$E$3:$G$6,3,0)</f>
        <v>Bahan Tambahan</v>
      </c>
      <c r="E830" s="31" t="s">
        <v>79</v>
      </c>
      <c r="F830" s="30">
        <v>0</v>
      </c>
      <c r="G830" s="30">
        <v>180</v>
      </c>
      <c r="H830" s="30">
        <v>1040</v>
      </c>
      <c r="I830" s="30">
        <v>860</v>
      </c>
      <c r="J830" s="30" t="s">
        <v>87</v>
      </c>
      <c r="K830" s="32" t="s">
        <v>104</v>
      </c>
    </row>
    <row r="831" spans="1:11" ht="14.5" x14ac:dyDescent="0.35">
      <c r="A831" s="29">
        <v>45988</v>
      </c>
      <c r="B831" s="30" t="s">
        <v>68</v>
      </c>
      <c r="C831" s="31" t="str">
        <f>VLOOKUP(B831,'Kode Data'!$B$3:$C$23,2,0)</f>
        <v>Tepung Terigu Khusus Kue</v>
      </c>
      <c r="D831" s="30" t="str">
        <f>VLOOKUP(LEFT(B831,2),'Kode Data'!$E$3:$G$6,3,0)</f>
        <v>Produk</v>
      </c>
      <c r="E831" s="31" t="s">
        <v>83</v>
      </c>
      <c r="F831" s="30">
        <v>600</v>
      </c>
      <c r="G831" s="30">
        <v>0</v>
      </c>
      <c r="H831" s="30">
        <v>3150</v>
      </c>
      <c r="I831" s="30">
        <v>3750</v>
      </c>
      <c r="J831" s="30" t="s">
        <v>80</v>
      </c>
      <c r="K831" s="32" t="s">
        <v>81</v>
      </c>
    </row>
    <row r="832" spans="1:11" ht="14.5" x14ac:dyDescent="0.35">
      <c r="A832" s="33">
        <v>45988</v>
      </c>
      <c r="B832" s="30" t="s">
        <v>14</v>
      </c>
      <c r="C832" s="31" t="str">
        <f>VLOOKUP(B832,'Kode Data'!$B$3:$C$23,2,0)</f>
        <v>Gandum Durum</v>
      </c>
      <c r="D832" s="30" t="str">
        <f>VLOOKUP(LEFT(B832,2),'Kode Data'!$E$3:$G$6,3,0)</f>
        <v>Bahan Baku</v>
      </c>
      <c r="E832" s="31" t="s">
        <v>79</v>
      </c>
      <c r="F832" s="30">
        <v>0</v>
      </c>
      <c r="G832" s="30">
        <v>280</v>
      </c>
      <c r="H832" s="30">
        <v>1840</v>
      </c>
      <c r="I832" s="30">
        <v>1560</v>
      </c>
      <c r="J832" s="30" t="s">
        <v>87</v>
      </c>
      <c r="K832" s="32" t="s">
        <v>104</v>
      </c>
    </row>
    <row r="833" spans="1:11" ht="14.5" x14ac:dyDescent="0.35">
      <c r="A833" s="29">
        <v>45989</v>
      </c>
      <c r="B833" s="30" t="s">
        <v>38</v>
      </c>
      <c r="C833" s="31" t="str">
        <f>VLOOKUP(B833,'Kode Data'!$B$3:$C$23,2,0)</f>
        <v>Improver Tepung</v>
      </c>
      <c r="D833" s="30" t="str">
        <f>VLOOKUP(LEFT(B833,2),'Kode Data'!$E$3:$G$6,3,0)</f>
        <v>Bahan Tambahan</v>
      </c>
      <c r="E833" s="31" t="s">
        <v>107</v>
      </c>
      <c r="F833" s="30">
        <v>0</v>
      </c>
      <c r="G833" s="30">
        <v>160</v>
      </c>
      <c r="H833" s="30">
        <v>570</v>
      </c>
      <c r="I833" s="30">
        <v>410</v>
      </c>
      <c r="J833" s="30" t="s">
        <v>87</v>
      </c>
      <c r="K833" s="32" t="s">
        <v>104</v>
      </c>
    </row>
    <row r="834" spans="1:11" ht="14.5" x14ac:dyDescent="0.35">
      <c r="A834" s="29">
        <v>45989</v>
      </c>
      <c r="B834" s="30" t="s">
        <v>60</v>
      </c>
      <c r="C834" s="31" t="str">
        <f>VLOOKUP(B834,'Kode Data'!$B$3:$C$23,2,0)</f>
        <v>Tepung Terigu Protein Tinggi</v>
      </c>
      <c r="D834" s="30" t="str">
        <f>VLOOKUP(LEFT(B834,2),'Kode Data'!$E$3:$G$6,3,0)</f>
        <v>Produk</v>
      </c>
      <c r="E834" s="31" t="s">
        <v>108</v>
      </c>
      <c r="F834" s="30">
        <v>0</v>
      </c>
      <c r="G834" s="30">
        <v>700</v>
      </c>
      <c r="H834" s="30">
        <v>2600</v>
      </c>
      <c r="I834" s="30">
        <v>1900</v>
      </c>
      <c r="J834" s="30" t="s">
        <v>80</v>
      </c>
      <c r="K834" s="32" t="s">
        <v>90</v>
      </c>
    </row>
    <row r="835" spans="1:11" ht="14.5" x14ac:dyDescent="0.35">
      <c r="A835" s="33">
        <v>45989</v>
      </c>
      <c r="B835" s="30" t="s">
        <v>58</v>
      </c>
      <c r="C835" s="31" t="str">
        <f>VLOOKUP(B835,'Kode Data'!$B$3:$C$23,2,0)</f>
        <v>Pallet Kayu</v>
      </c>
      <c r="D835" s="30" t="str">
        <f>VLOOKUP(LEFT(B835,2),'Kode Data'!$E$3:$G$6,3,0)</f>
        <v>Kemasan</v>
      </c>
      <c r="E835" s="31" t="s">
        <v>122</v>
      </c>
      <c r="F835" s="30">
        <v>0</v>
      </c>
      <c r="G835" s="30">
        <v>40</v>
      </c>
      <c r="H835" s="30">
        <v>370</v>
      </c>
      <c r="I835" s="30">
        <v>330</v>
      </c>
      <c r="J835" s="30" t="s">
        <v>80</v>
      </c>
      <c r="K835" s="32" t="s">
        <v>93</v>
      </c>
    </row>
    <row r="836" spans="1:11" ht="14.5" x14ac:dyDescent="0.35">
      <c r="A836" s="29">
        <v>45990</v>
      </c>
      <c r="B836" s="30" t="s">
        <v>26</v>
      </c>
      <c r="C836" s="31" t="str">
        <f>VLOOKUP(B836,'Kode Data'!$B$3:$C$23,2,0)</f>
        <v>Enzim Baking</v>
      </c>
      <c r="D836" s="30" t="str">
        <f>VLOOKUP(LEFT(B836,2),'Kode Data'!$E$3:$G$6,3,0)</f>
        <v>Bahan Tambahan</v>
      </c>
      <c r="E836" s="31" t="s">
        <v>106</v>
      </c>
      <c r="F836" s="30">
        <v>0</v>
      </c>
      <c r="G836" s="30">
        <v>95</v>
      </c>
      <c r="H836" s="30">
        <v>385</v>
      </c>
      <c r="I836" s="30">
        <v>290</v>
      </c>
      <c r="J836" s="30" t="s">
        <v>87</v>
      </c>
      <c r="K836" s="32" t="s">
        <v>104</v>
      </c>
    </row>
    <row r="837" spans="1:11" ht="14.5" x14ac:dyDescent="0.35">
      <c r="A837" s="29">
        <v>45990</v>
      </c>
      <c r="B837" s="30" t="s">
        <v>30</v>
      </c>
      <c r="C837" s="31" t="str">
        <f>VLOOKUP(B837,'Kode Data'!$B$3:$C$23,2,0)</f>
        <v>Vitamin Fortifikasi</v>
      </c>
      <c r="D837" s="30" t="str">
        <f>VLOOKUP(LEFT(B837,2),'Kode Data'!$E$3:$G$6,3,0)</f>
        <v>Bahan Tambahan</v>
      </c>
      <c r="E837" s="31" t="s">
        <v>112</v>
      </c>
      <c r="F837" s="30">
        <v>0</v>
      </c>
      <c r="G837" s="30">
        <v>105</v>
      </c>
      <c r="H837" s="30">
        <v>995</v>
      </c>
      <c r="I837" s="30">
        <v>890</v>
      </c>
      <c r="J837" s="30" t="s">
        <v>87</v>
      </c>
      <c r="K837" s="32" t="s">
        <v>104</v>
      </c>
    </row>
    <row r="838" spans="1:11" ht="14.5" x14ac:dyDescent="0.35">
      <c r="A838" s="29">
        <v>45990</v>
      </c>
      <c r="B838" s="30" t="s">
        <v>62</v>
      </c>
      <c r="C838" s="31" t="str">
        <f>VLOOKUP(B838,'Kode Data'!$B$3:$C$23,2,0)</f>
        <v>Tepung Terigu Serbaguna</v>
      </c>
      <c r="D838" s="30" t="str">
        <f>VLOOKUP(LEFT(B838,2),'Kode Data'!$E$3:$G$6,3,0)</f>
        <v>Produk</v>
      </c>
      <c r="E838" s="31" t="s">
        <v>79</v>
      </c>
      <c r="F838" s="30">
        <v>0</v>
      </c>
      <c r="G838" s="30">
        <v>700</v>
      </c>
      <c r="H838" s="30">
        <v>3600</v>
      </c>
      <c r="I838" s="30">
        <v>2900</v>
      </c>
      <c r="J838" s="30" t="s">
        <v>80</v>
      </c>
      <c r="K838" s="32" t="s">
        <v>90</v>
      </c>
    </row>
    <row r="839" spans="1:11" ht="14.5" x14ac:dyDescent="0.35">
      <c r="A839" s="29">
        <v>45990</v>
      </c>
      <c r="B839" s="30" t="s">
        <v>68</v>
      </c>
      <c r="C839" s="31" t="str">
        <f>VLOOKUP(B839,'Kode Data'!$B$3:$C$23,2,0)</f>
        <v>Tepung Terigu Khusus Kue</v>
      </c>
      <c r="D839" s="30" t="str">
        <f>VLOOKUP(LEFT(B839,2),'Kode Data'!$E$3:$G$6,3,0)</f>
        <v>Produk</v>
      </c>
      <c r="E839" s="31" t="s">
        <v>91</v>
      </c>
      <c r="F839" s="30">
        <v>0</v>
      </c>
      <c r="G839" s="30">
        <v>500</v>
      </c>
      <c r="H839" s="30">
        <v>3750</v>
      </c>
      <c r="I839" s="30">
        <v>3250</v>
      </c>
      <c r="J839" s="30" t="s">
        <v>80</v>
      </c>
      <c r="K839" s="32" t="s">
        <v>90</v>
      </c>
    </row>
    <row r="840" spans="1:11" ht="14.5" x14ac:dyDescent="0.35">
      <c r="A840" s="29">
        <v>45991</v>
      </c>
      <c r="B840" s="30" t="s">
        <v>50</v>
      </c>
      <c r="C840" s="31" t="str">
        <f>VLOOKUP(B840,'Kode Data'!$B$3:$C$23,2,0)</f>
        <v>Plastik Kemasan 1 Kg</v>
      </c>
      <c r="D840" s="30" t="str">
        <f>VLOOKUP(LEFT(B840,2),'Kode Data'!$E$3:$G$6,3,0)</f>
        <v>Kemasan</v>
      </c>
      <c r="E840" s="31" t="s">
        <v>99</v>
      </c>
      <c r="F840" s="30">
        <v>0</v>
      </c>
      <c r="G840" s="30">
        <v>400</v>
      </c>
      <c r="H840" s="30">
        <v>12700</v>
      </c>
      <c r="I840" s="30">
        <v>12300</v>
      </c>
      <c r="J840" s="30" t="s">
        <v>80</v>
      </c>
      <c r="K840" s="32" t="s">
        <v>93</v>
      </c>
    </row>
    <row r="841" spans="1:11" ht="14.5" x14ac:dyDescent="0.35">
      <c r="A841" s="33">
        <v>45991</v>
      </c>
      <c r="B841" s="30" t="s">
        <v>4</v>
      </c>
      <c r="C841" s="31" t="str">
        <f>VLOOKUP(B841,'Kode Data'!$B$3:$C$23,2,0)</f>
        <v>Gandum Hard Wheat</v>
      </c>
      <c r="D841" s="30" t="str">
        <f>VLOOKUP(LEFT(B841,2),'Kode Data'!$E$3:$G$6,3,0)</f>
        <v>Bahan Baku</v>
      </c>
      <c r="E841" s="31" t="s">
        <v>79</v>
      </c>
      <c r="F841" s="30">
        <v>0</v>
      </c>
      <c r="G841" s="30">
        <v>500</v>
      </c>
      <c r="H841" s="30">
        <v>4000</v>
      </c>
      <c r="I841" s="30">
        <v>3500</v>
      </c>
      <c r="J841" s="30" t="s">
        <v>87</v>
      </c>
      <c r="K841" s="32" t="s">
        <v>104</v>
      </c>
    </row>
    <row r="842" spans="1:11" ht="14.5" x14ac:dyDescent="0.35">
      <c r="A842" s="29">
        <v>45992</v>
      </c>
      <c r="B842" s="30" t="s">
        <v>68</v>
      </c>
      <c r="C842" s="31" t="str">
        <f>VLOOKUP(B842,'Kode Data'!$B$3:$C$23,2,0)</f>
        <v>Tepung Terigu Khusus Kue</v>
      </c>
      <c r="D842" s="30" t="str">
        <f>VLOOKUP(LEFT(B842,2),'Kode Data'!$E$3:$G$6,3,0)</f>
        <v>Produk</v>
      </c>
      <c r="E842" s="31" t="s">
        <v>83</v>
      </c>
      <c r="F842" s="30">
        <v>0</v>
      </c>
      <c r="G842" s="30">
        <v>450</v>
      </c>
      <c r="H842" s="30">
        <v>3800</v>
      </c>
      <c r="I842" s="30">
        <v>3350</v>
      </c>
      <c r="J842" s="30" t="s">
        <v>80</v>
      </c>
      <c r="K842" s="32" t="s">
        <v>90</v>
      </c>
    </row>
    <row r="843" spans="1:11" ht="14.5" x14ac:dyDescent="0.35">
      <c r="A843" s="29">
        <v>45992</v>
      </c>
      <c r="B843" s="30" t="s">
        <v>50</v>
      </c>
      <c r="C843" s="31" t="str">
        <f>VLOOKUP(B843,'Kode Data'!$B$3:$C$23,2,0)</f>
        <v>Plastik Kemasan 1 Kg</v>
      </c>
      <c r="D843" s="30" t="str">
        <f>VLOOKUP(LEFT(B843,2),'Kode Data'!$E$3:$G$6,3,0)</f>
        <v>Kemasan</v>
      </c>
      <c r="E843" s="31" t="s">
        <v>86</v>
      </c>
      <c r="F843" s="30">
        <v>1000</v>
      </c>
      <c r="G843" s="30">
        <v>0</v>
      </c>
      <c r="H843" s="30">
        <v>12300</v>
      </c>
      <c r="I843" s="30">
        <v>13300</v>
      </c>
      <c r="J843" s="30" t="s">
        <v>80</v>
      </c>
      <c r="K843" s="32" t="s">
        <v>85</v>
      </c>
    </row>
    <row r="844" spans="1:11" ht="14.5" x14ac:dyDescent="0.35">
      <c r="A844" s="33">
        <v>45992</v>
      </c>
      <c r="B844" s="30" t="s">
        <v>56</v>
      </c>
      <c r="C844" s="31" t="str">
        <f>VLOOKUP(B844,'Kode Data'!$B$3:$C$23,2,0)</f>
        <v>Label Produk</v>
      </c>
      <c r="D844" s="30" t="str">
        <f>VLOOKUP(LEFT(B844,2),'Kode Data'!$E$3:$G$6,3,0)</f>
        <v>Kemasan</v>
      </c>
      <c r="E844" s="31" t="s">
        <v>124</v>
      </c>
      <c r="F844" s="30">
        <v>600</v>
      </c>
      <c r="G844" s="30">
        <v>0</v>
      </c>
      <c r="H844" s="30">
        <v>2100</v>
      </c>
      <c r="I844" s="30">
        <v>2700</v>
      </c>
      <c r="J844" s="30" t="s">
        <v>80</v>
      </c>
      <c r="K844" s="32" t="s">
        <v>85</v>
      </c>
    </row>
    <row r="845" spans="1:11" ht="14.5" x14ac:dyDescent="0.35">
      <c r="A845" s="33">
        <v>45993</v>
      </c>
      <c r="B845" s="30" t="s">
        <v>54</v>
      </c>
      <c r="C845" s="31" t="str">
        <f>VLOOKUP(B845,'Kode Data'!$B$3:$C$23,2,0)</f>
        <v>Karton Box</v>
      </c>
      <c r="D845" s="30" t="str">
        <f>VLOOKUP(LEFT(B845,2),'Kode Data'!$E$3:$G$6,3,0)</f>
        <v>Kemasan</v>
      </c>
      <c r="E845" s="31" t="s">
        <v>114</v>
      </c>
      <c r="F845" s="30">
        <v>1200</v>
      </c>
      <c r="G845" s="30">
        <v>0</v>
      </c>
      <c r="H845" s="30">
        <v>13550</v>
      </c>
      <c r="I845" s="30">
        <v>14750</v>
      </c>
      <c r="J845" s="30" t="s">
        <v>80</v>
      </c>
      <c r="K845" s="32" t="s">
        <v>85</v>
      </c>
    </row>
    <row r="846" spans="1:11" ht="14.5" x14ac:dyDescent="0.35">
      <c r="A846" s="33">
        <v>45993</v>
      </c>
      <c r="B846" s="30" t="s">
        <v>9</v>
      </c>
      <c r="C846" s="31" t="str">
        <f>VLOOKUP(B846,'Kode Data'!$B$3:$C$23,2,0)</f>
        <v>Gandum Soft Wheat</v>
      </c>
      <c r="D846" s="30" t="str">
        <f>VLOOKUP(LEFT(B846,2),'Kode Data'!$E$3:$G$6,3,0)</f>
        <v>Bahan Baku</v>
      </c>
      <c r="E846" s="31" t="s">
        <v>98</v>
      </c>
      <c r="F846" s="30">
        <v>400</v>
      </c>
      <c r="G846" s="30">
        <v>0</v>
      </c>
      <c r="H846" s="30">
        <v>2750</v>
      </c>
      <c r="I846" s="30">
        <v>3150</v>
      </c>
      <c r="J846" s="30" t="s">
        <v>87</v>
      </c>
      <c r="K846" s="32" t="s">
        <v>88</v>
      </c>
    </row>
    <row r="847" spans="1:11" ht="14.5" x14ac:dyDescent="0.35">
      <c r="A847" s="33">
        <v>45993</v>
      </c>
      <c r="B847" s="30" t="s">
        <v>14</v>
      </c>
      <c r="C847" s="31" t="str">
        <f>VLOOKUP(B847,'Kode Data'!$B$3:$C$23,2,0)</f>
        <v>Gandum Durum</v>
      </c>
      <c r="D847" s="30" t="str">
        <f>VLOOKUP(LEFT(B847,2),'Kode Data'!$E$3:$G$6,3,0)</f>
        <v>Bahan Baku</v>
      </c>
      <c r="E847" s="31" t="s">
        <v>89</v>
      </c>
      <c r="F847" s="30">
        <v>320</v>
      </c>
      <c r="G847" s="30">
        <v>0</v>
      </c>
      <c r="H847" s="30">
        <v>1560</v>
      </c>
      <c r="I847" s="30">
        <v>1880</v>
      </c>
      <c r="J847" s="30" t="s">
        <v>87</v>
      </c>
      <c r="K847" s="32" t="s">
        <v>88</v>
      </c>
    </row>
    <row r="848" spans="1:11" ht="14.5" x14ac:dyDescent="0.35">
      <c r="A848" s="33">
        <v>45993</v>
      </c>
      <c r="B848" s="30" t="s">
        <v>24</v>
      </c>
      <c r="C848" s="31" t="str">
        <f>VLOOKUP(B848,'Kode Data'!$B$3:$C$23,2,0)</f>
        <v>Germ Gandum</v>
      </c>
      <c r="D848" s="30" t="str">
        <f>VLOOKUP(LEFT(B848,2),'Kode Data'!$E$3:$G$6,3,0)</f>
        <v>Bahan Baku</v>
      </c>
      <c r="E848" s="31" t="s">
        <v>89</v>
      </c>
      <c r="F848" s="30">
        <v>300</v>
      </c>
      <c r="G848" s="30">
        <v>0</v>
      </c>
      <c r="H848" s="30">
        <v>2280</v>
      </c>
      <c r="I848" s="30">
        <v>2580</v>
      </c>
      <c r="J848" s="30" t="s">
        <v>87</v>
      </c>
      <c r="K848" s="32" t="s">
        <v>88</v>
      </c>
    </row>
    <row r="849" spans="1:11" ht="14.5" x14ac:dyDescent="0.35">
      <c r="A849" s="29">
        <v>45994</v>
      </c>
      <c r="B849" s="30" t="s">
        <v>60</v>
      </c>
      <c r="C849" s="31" t="str">
        <f>VLOOKUP(B849,'Kode Data'!$B$3:$C$23,2,0)</f>
        <v>Tepung Terigu Protein Tinggi</v>
      </c>
      <c r="D849" s="30" t="str">
        <f>VLOOKUP(LEFT(B849,2),'Kode Data'!$E$3:$G$6,3,0)</f>
        <v>Produk</v>
      </c>
      <c r="E849" s="31" t="s">
        <v>113</v>
      </c>
      <c r="F849" s="30">
        <v>600</v>
      </c>
      <c r="G849" s="30">
        <v>0</v>
      </c>
      <c r="H849" s="30">
        <v>1900</v>
      </c>
      <c r="I849" s="30">
        <v>2500</v>
      </c>
      <c r="J849" s="30" t="s">
        <v>80</v>
      </c>
      <c r="K849" s="32" t="s">
        <v>81</v>
      </c>
    </row>
    <row r="850" spans="1:11" ht="14.5" x14ac:dyDescent="0.35">
      <c r="A850" s="29">
        <v>45994</v>
      </c>
      <c r="B850" s="30" t="s">
        <v>62</v>
      </c>
      <c r="C850" s="31" t="str">
        <f>VLOOKUP(B850,'Kode Data'!$B$3:$C$23,2,0)</f>
        <v>Tepung Terigu Serbaguna</v>
      </c>
      <c r="D850" s="30" t="str">
        <f>VLOOKUP(LEFT(B850,2),'Kode Data'!$E$3:$G$6,3,0)</f>
        <v>Produk</v>
      </c>
      <c r="E850" s="31" t="s">
        <v>89</v>
      </c>
      <c r="F850" s="30">
        <v>900</v>
      </c>
      <c r="G850" s="30">
        <v>0</v>
      </c>
      <c r="H850" s="30">
        <v>2900</v>
      </c>
      <c r="I850" s="30">
        <v>3800</v>
      </c>
      <c r="J850" s="30" t="s">
        <v>80</v>
      </c>
      <c r="K850" s="32" t="s">
        <v>81</v>
      </c>
    </row>
    <row r="851" spans="1:11" ht="14.5" x14ac:dyDescent="0.35">
      <c r="A851" s="29">
        <v>45994</v>
      </c>
      <c r="B851" s="30" t="s">
        <v>68</v>
      </c>
      <c r="C851" s="31" t="str">
        <f>VLOOKUP(B851,'Kode Data'!$B$3:$C$23,2,0)</f>
        <v>Tepung Terigu Khusus Kue</v>
      </c>
      <c r="D851" s="30" t="str">
        <f>VLOOKUP(LEFT(B851,2),'Kode Data'!$E$3:$G$6,3,0)</f>
        <v>Produk</v>
      </c>
      <c r="E851" s="31" t="s">
        <v>91</v>
      </c>
      <c r="F851" s="30">
        <v>600</v>
      </c>
      <c r="G851" s="30">
        <v>0</v>
      </c>
      <c r="H851" s="30">
        <v>3350</v>
      </c>
      <c r="I851" s="30">
        <v>3950</v>
      </c>
      <c r="J851" s="30" t="s">
        <v>80</v>
      </c>
      <c r="K851" s="32" t="s">
        <v>81</v>
      </c>
    </row>
    <row r="852" spans="1:11" ht="14.5" x14ac:dyDescent="0.35">
      <c r="A852" s="29">
        <v>45994</v>
      </c>
      <c r="B852" s="30" t="s">
        <v>50</v>
      </c>
      <c r="C852" s="31" t="str">
        <f>VLOOKUP(B852,'Kode Data'!$B$3:$C$23,2,0)</f>
        <v>Plastik Kemasan 1 Kg</v>
      </c>
      <c r="D852" s="30" t="str">
        <f>VLOOKUP(LEFT(B852,2),'Kode Data'!$E$3:$G$6,3,0)</f>
        <v>Kemasan</v>
      </c>
      <c r="E852" s="31" t="s">
        <v>92</v>
      </c>
      <c r="F852" s="30">
        <v>0</v>
      </c>
      <c r="G852" s="30">
        <v>500</v>
      </c>
      <c r="H852" s="30">
        <v>13300</v>
      </c>
      <c r="I852" s="30">
        <v>12800</v>
      </c>
      <c r="J852" s="30" t="s">
        <v>80</v>
      </c>
      <c r="K852" s="32" t="s">
        <v>93</v>
      </c>
    </row>
    <row r="853" spans="1:11" ht="14.5" x14ac:dyDescent="0.35">
      <c r="A853" s="33">
        <v>45994</v>
      </c>
      <c r="B853" s="30" t="s">
        <v>58</v>
      </c>
      <c r="C853" s="31" t="str">
        <f>VLOOKUP(B853,'Kode Data'!$B$3:$C$23,2,0)</f>
        <v>Pallet Kayu</v>
      </c>
      <c r="D853" s="30" t="str">
        <f>VLOOKUP(LEFT(B853,2),'Kode Data'!$E$3:$G$6,3,0)</f>
        <v>Kemasan</v>
      </c>
      <c r="E853" s="31" t="s">
        <v>94</v>
      </c>
      <c r="F853" s="30">
        <v>60</v>
      </c>
      <c r="G853" s="30">
        <v>0</v>
      </c>
      <c r="H853" s="30">
        <v>330</v>
      </c>
      <c r="I853" s="30">
        <v>390</v>
      </c>
      <c r="J853" s="30" t="s">
        <v>80</v>
      </c>
      <c r="K853" s="32" t="s">
        <v>85</v>
      </c>
    </row>
    <row r="854" spans="1:11" ht="14.5" x14ac:dyDescent="0.35">
      <c r="A854" s="33">
        <v>45994</v>
      </c>
      <c r="B854" s="30" t="s">
        <v>19</v>
      </c>
      <c r="C854" s="31" t="str">
        <f>VLOOKUP(B854,'Kode Data'!$B$3:$C$23,2,0)</f>
        <v>Bran Gandum</v>
      </c>
      <c r="D854" s="30" t="str">
        <f>VLOOKUP(LEFT(B854,2),'Kode Data'!$E$3:$G$6,3,0)</f>
        <v>Bahan Baku</v>
      </c>
      <c r="E854" s="31" t="s">
        <v>118</v>
      </c>
      <c r="F854" s="30">
        <v>450</v>
      </c>
      <c r="G854" s="30">
        <v>0</v>
      </c>
      <c r="H854" s="30">
        <v>2750</v>
      </c>
      <c r="I854" s="30">
        <v>3200</v>
      </c>
      <c r="J854" s="30" t="s">
        <v>87</v>
      </c>
      <c r="K854" s="32" t="s">
        <v>88</v>
      </c>
    </row>
    <row r="855" spans="1:11" ht="14.5" x14ac:dyDescent="0.35">
      <c r="A855" s="29">
        <v>45995</v>
      </c>
      <c r="B855" s="30" t="s">
        <v>26</v>
      </c>
      <c r="C855" s="31" t="str">
        <f>VLOOKUP(B855,'Kode Data'!$B$3:$C$23,2,0)</f>
        <v>Enzim Baking</v>
      </c>
      <c r="D855" s="30" t="str">
        <f>VLOOKUP(LEFT(B855,2),'Kode Data'!$E$3:$G$6,3,0)</f>
        <v>Bahan Tambahan</v>
      </c>
      <c r="E855" s="31" t="s">
        <v>115</v>
      </c>
      <c r="F855" s="30">
        <v>125</v>
      </c>
      <c r="G855" s="30">
        <v>0</v>
      </c>
      <c r="H855" s="30">
        <v>290</v>
      </c>
      <c r="I855" s="30">
        <v>415</v>
      </c>
      <c r="J855" s="30" t="s">
        <v>87</v>
      </c>
      <c r="K855" s="32" t="s">
        <v>96</v>
      </c>
    </row>
    <row r="856" spans="1:11" ht="14.5" x14ac:dyDescent="0.35">
      <c r="A856" s="29">
        <v>45995</v>
      </c>
      <c r="B856" s="30" t="s">
        <v>30</v>
      </c>
      <c r="C856" s="31" t="str">
        <f>VLOOKUP(B856,'Kode Data'!$B$3:$C$23,2,0)</f>
        <v>Vitamin Fortifikasi</v>
      </c>
      <c r="D856" s="30" t="str">
        <f>VLOOKUP(LEFT(B856,2),'Kode Data'!$E$3:$G$6,3,0)</f>
        <v>Bahan Tambahan</v>
      </c>
      <c r="E856" s="31" t="s">
        <v>119</v>
      </c>
      <c r="F856" s="30">
        <v>150</v>
      </c>
      <c r="G856" s="30">
        <v>0</v>
      </c>
      <c r="H856" s="30">
        <v>890</v>
      </c>
      <c r="I856" s="30">
        <v>1040</v>
      </c>
      <c r="J856" s="30" t="s">
        <v>87</v>
      </c>
      <c r="K856" s="32" t="s">
        <v>96</v>
      </c>
    </row>
    <row r="857" spans="1:11" ht="14.5" x14ac:dyDescent="0.35">
      <c r="A857" s="29">
        <v>45995</v>
      </c>
      <c r="B857" s="30" t="s">
        <v>34</v>
      </c>
      <c r="C857" s="31" t="str">
        <f>VLOOKUP(B857,'Kode Data'!$B$3:$C$23,2,0)</f>
        <v>Tepung Premix</v>
      </c>
      <c r="D857" s="30" t="str">
        <f>VLOOKUP(LEFT(B857,2),'Kode Data'!$E$3:$G$6,3,0)</f>
        <v>Bahan Tambahan</v>
      </c>
      <c r="E857" s="31" t="s">
        <v>89</v>
      </c>
      <c r="F857" s="30">
        <v>210</v>
      </c>
      <c r="G857" s="30">
        <v>0</v>
      </c>
      <c r="H857" s="30">
        <v>860</v>
      </c>
      <c r="I857" s="30">
        <v>1070</v>
      </c>
      <c r="J857" s="30" t="s">
        <v>87</v>
      </c>
      <c r="K857" s="32" t="s">
        <v>96</v>
      </c>
    </row>
    <row r="858" spans="1:11" ht="14.5" x14ac:dyDescent="0.35">
      <c r="A858" s="29">
        <v>45995</v>
      </c>
      <c r="B858" s="30" t="s">
        <v>42</v>
      </c>
      <c r="C858" s="31" t="str">
        <f>VLOOKUP(B858,'Kode Data'!$B$3:$C$23,2,0)</f>
        <v>Calcium Propionate</v>
      </c>
      <c r="D858" s="30" t="str">
        <f>VLOOKUP(LEFT(B858,2),'Kode Data'!$E$3:$G$6,3,0)</f>
        <v>Bahan Tambahan</v>
      </c>
      <c r="E858" s="31" t="s">
        <v>111</v>
      </c>
      <c r="F858" s="30">
        <v>60</v>
      </c>
      <c r="G858" s="30">
        <v>0</v>
      </c>
      <c r="H858" s="30">
        <v>690</v>
      </c>
      <c r="I858" s="30">
        <v>750</v>
      </c>
      <c r="J858" s="30" t="s">
        <v>87</v>
      </c>
      <c r="K858" s="32" t="s">
        <v>116</v>
      </c>
    </row>
    <row r="859" spans="1:11" ht="14.5" x14ac:dyDescent="0.35">
      <c r="A859" s="29">
        <v>45996</v>
      </c>
      <c r="B859" s="30" t="s">
        <v>38</v>
      </c>
      <c r="C859" s="31" t="str">
        <f>VLOOKUP(B859,'Kode Data'!$B$3:$C$23,2,0)</f>
        <v>Improver Tepung</v>
      </c>
      <c r="D859" s="30" t="str">
        <f>VLOOKUP(LEFT(B859,2),'Kode Data'!$E$3:$G$6,3,0)</f>
        <v>Bahan Tambahan</v>
      </c>
      <c r="E859" s="31" t="s">
        <v>117</v>
      </c>
      <c r="F859" s="30">
        <v>180</v>
      </c>
      <c r="G859" s="30">
        <v>0</v>
      </c>
      <c r="H859" s="30">
        <v>410</v>
      </c>
      <c r="I859" s="30">
        <v>590</v>
      </c>
      <c r="J859" s="30" t="s">
        <v>87</v>
      </c>
      <c r="K859" s="32" t="s">
        <v>96</v>
      </c>
    </row>
    <row r="860" spans="1:11" ht="14.5" x14ac:dyDescent="0.35">
      <c r="A860" s="29">
        <v>45996</v>
      </c>
      <c r="B860" s="30" t="s">
        <v>68</v>
      </c>
      <c r="C860" s="31" t="str">
        <f>VLOOKUP(B860,'Kode Data'!$B$3:$C$23,2,0)</f>
        <v>Tepung Terigu Khusus Kue</v>
      </c>
      <c r="D860" s="30" t="str">
        <f>VLOOKUP(LEFT(B860,2),'Kode Data'!$E$3:$G$6,3,0)</f>
        <v>Produk</v>
      </c>
      <c r="E860" s="31" t="s">
        <v>89</v>
      </c>
      <c r="F860" s="30">
        <v>0</v>
      </c>
      <c r="G860" s="30">
        <v>500</v>
      </c>
      <c r="H860" s="30">
        <v>3950</v>
      </c>
      <c r="I860" s="30">
        <v>3450</v>
      </c>
      <c r="J860" s="30" t="s">
        <v>80</v>
      </c>
      <c r="K860" s="32" t="s">
        <v>90</v>
      </c>
    </row>
    <row r="861" spans="1:11" ht="14.5" x14ac:dyDescent="0.35">
      <c r="A861" s="29">
        <v>45996</v>
      </c>
      <c r="B861" s="30" t="s">
        <v>50</v>
      </c>
      <c r="C861" s="31" t="str">
        <f>VLOOKUP(B861,'Kode Data'!$B$3:$C$23,2,0)</f>
        <v>Plastik Kemasan 1 Kg</v>
      </c>
      <c r="D861" s="30" t="str">
        <f>VLOOKUP(LEFT(B861,2),'Kode Data'!$E$3:$G$6,3,0)</f>
        <v>Kemasan</v>
      </c>
      <c r="E861" s="31" t="s">
        <v>99</v>
      </c>
      <c r="F861" s="30">
        <v>1200</v>
      </c>
      <c r="G861" s="30">
        <v>0</v>
      </c>
      <c r="H861" s="30">
        <v>12800</v>
      </c>
      <c r="I861" s="30">
        <v>14000</v>
      </c>
      <c r="J861" s="30" t="s">
        <v>80</v>
      </c>
      <c r="K861" s="32" t="s">
        <v>85</v>
      </c>
    </row>
    <row r="862" spans="1:11" ht="14.5" x14ac:dyDescent="0.35">
      <c r="A862" s="29">
        <v>45997</v>
      </c>
      <c r="B862" s="30" t="s">
        <v>68</v>
      </c>
      <c r="C862" s="31" t="str">
        <f>VLOOKUP(B862,'Kode Data'!$B$3:$C$23,2,0)</f>
        <v>Tepung Terigu Khusus Kue</v>
      </c>
      <c r="D862" s="30" t="str">
        <f>VLOOKUP(LEFT(B862,2),'Kode Data'!$E$3:$G$6,3,0)</f>
        <v>Produk</v>
      </c>
      <c r="E862" s="31" t="s">
        <v>83</v>
      </c>
      <c r="F862" s="30">
        <v>550</v>
      </c>
      <c r="G862" s="30">
        <v>0</v>
      </c>
      <c r="H862" s="30">
        <v>3450</v>
      </c>
      <c r="I862" s="30">
        <v>4000</v>
      </c>
      <c r="J862" s="30" t="s">
        <v>80</v>
      </c>
      <c r="K862" s="32" t="s">
        <v>81</v>
      </c>
    </row>
    <row r="863" spans="1:11" ht="14.5" x14ac:dyDescent="0.35">
      <c r="A863" s="29">
        <v>45997</v>
      </c>
      <c r="B863" s="30" t="s">
        <v>46</v>
      </c>
      <c r="C863" s="31" t="str">
        <f>VLOOKUP(B863,'Kode Data'!$B$3:$C$23,2,0)</f>
        <v>Karung Kemasan 25 Kg</v>
      </c>
      <c r="D863" s="30" t="str">
        <f>VLOOKUP(LEFT(B863,2),'Kode Data'!$E$3:$G$6,3,0)</f>
        <v>Kemasan</v>
      </c>
      <c r="E863" s="31" t="s">
        <v>97</v>
      </c>
      <c r="F863" s="30">
        <v>350</v>
      </c>
      <c r="G863" s="30">
        <v>0</v>
      </c>
      <c r="H863" s="30">
        <v>4220</v>
      </c>
      <c r="I863" s="30">
        <v>4570</v>
      </c>
      <c r="J863" s="30" t="s">
        <v>80</v>
      </c>
      <c r="K863" s="32" t="s">
        <v>85</v>
      </c>
    </row>
    <row r="864" spans="1:11" ht="14.5" x14ac:dyDescent="0.35">
      <c r="A864" s="29">
        <v>45997</v>
      </c>
      <c r="B864" s="30" t="s">
        <v>50</v>
      </c>
      <c r="C864" s="31" t="str">
        <f>VLOOKUP(B864,'Kode Data'!$B$3:$C$23,2,0)</f>
        <v>Plastik Kemasan 1 Kg</v>
      </c>
      <c r="D864" s="30" t="str">
        <f>VLOOKUP(LEFT(B864,2),'Kode Data'!$E$3:$G$6,3,0)</f>
        <v>Kemasan</v>
      </c>
      <c r="E864" s="31" t="s">
        <v>86</v>
      </c>
      <c r="F864" s="30">
        <v>0</v>
      </c>
      <c r="G864" s="30">
        <v>600</v>
      </c>
      <c r="H864" s="30">
        <v>14000</v>
      </c>
      <c r="I864" s="30">
        <v>13400</v>
      </c>
      <c r="J864" s="30" t="s">
        <v>80</v>
      </c>
      <c r="K864" s="32" t="s">
        <v>93</v>
      </c>
    </row>
    <row r="865" spans="1:11" ht="14.5" x14ac:dyDescent="0.35">
      <c r="A865" s="33">
        <v>45997</v>
      </c>
      <c r="B865" s="30" t="s">
        <v>4</v>
      </c>
      <c r="C865" s="31" t="str">
        <f>VLOOKUP(B865,'Kode Data'!$B$3:$C$23,2,0)</f>
        <v>Gandum Hard Wheat</v>
      </c>
      <c r="D865" s="30" t="str">
        <f>VLOOKUP(LEFT(B865,2),'Kode Data'!$E$3:$G$6,3,0)</f>
        <v>Bahan Baku</v>
      </c>
      <c r="E865" s="31" t="s">
        <v>98</v>
      </c>
      <c r="F865" s="30">
        <v>550</v>
      </c>
      <c r="G865" s="30">
        <v>0</v>
      </c>
      <c r="H865" s="30">
        <v>3500</v>
      </c>
      <c r="I865" s="30">
        <v>4050</v>
      </c>
      <c r="J865" s="30" t="s">
        <v>87</v>
      </c>
      <c r="K865" s="32" t="s">
        <v>88</v>
      </c>
    </row>
    <row r="866" spans="1:11" ht="14.5" x14ac:dyDescent="0.35">
      <c r="A866" s="33">
        <v>45998</v>
      </c>
      <c r="B866" s="30" t="s">
        <v>56</v>
      </c>
      <c r="C866" s="31" t="str">
        <f>VLOOKUP(B866,'Kode Data'!$B$3:$C$23,2,0)</f>
        <v>Label Produk</v>
      </c>
      <c r="D866" s="30" t="str">
        <f>VLOOKUP(LEFT(B866,2),'Kode Data'!$E$3:$G$6,3,0)</f>
        <v>Kemasan</v>
      </c>
      <c r="E866" s="31" t="s">
        <v>124</v>
      </c>
      <c r="F866" s="30">
        <v>0</v>
      </c>
      <c r="G866" s="30">
        <v>500</v>
      </c>
      <c r="H866" s="30">
        <v>2700</v>
      </c>
      <c r="I866" s="30">
        <v>2200</v>
      </c>
      <c r="J866" s="30" t="s">
        <v>80</v>
      </c>
      <c r="K866" s="32" t="s">
        <v>93</v>
      </c>
    </row>
    <row r="867" spans="1:11" ht="14.5" x14ac:dyDescent="0.35">
      <c r="A867" s="29">
        <v>45999</v>
      </c>
      <c r="B867" s="30" t="s">
        <v>66</v>
      </c>
      <c r="C867" s="31" t="str">
        <f>VLOOKUP(B867,'Kode Data'!$B$3:$C$23,2,0)</f>
        <v>Tepung Terigu Khusus Roti</v>
      </c>
      <c r="D867" s="30" t="str">
        <f>VLOOKUP(LEFT(B867,2),'Kode Data'!$E$3:$G$6,3,0)</f>
        <v>Produk</v>
      </c>
      <c r="E867" s="31" t="s">
        <v>89</v>
      </c>
      <c r="F867" s="30">
        <v>0</v>
      </c>
      <c r="G867" s="30">
        <v>400</v>
      </c>
      <c r="H867" s="30">
        <v>2250</v>
      </c>
      <c r="I867" s="30">
        <v>1850</v>
      </c>
      <c r="J867" s="30" t="s">
        <v>80</v>
      </c>
      <c r="K867" s="32" t="s">
        <v>90</v>
      </c>
    </row>
    <row r="868" spans="1:11" ht="14.5" x14ac:dyDescent="0.35">
      <c r="A868" s="29">
        <v>45999</v>
      </c>
      <c r="B868" s="30" t="s">
        <v>68</v>
      </c>
      <c r="C868" s="31" t="str">
        <f>VLOOKUP(B868,'Kode Data'!$B$3:$C$23,2,0)</f>
        <v>Tepung Terigu Khusus Kue</v>
      </c>
      <c r="D868" s="30" t="str">
        <f>VLOOKUP(LEFT(B868,2),'Kode Data'!$E$3:$G$6,3,0)</f>
        <v>Produk</v>
      </c>
      <c r="E868" s="31" t="s">
        <v>91</v>
      </c>
      <c r="F868" s="30">
        <v>0</v>
      </c>
      <c r="G868" s="30">
        <v>450</v>
      </c>
      <c r="H868" s="30">
        <v>4000</v>
      </c>
      <c r="I868" s="30">
        <v>3550</v>
      </c>
      <c r="J868" s="30" t="s">
        <v>80</v>
      </c>
      <c r="K868" s="32" t="s">
        <v>90</v>
      </c>
    </row>
    <row r="869" spans="1:11" ht="14.5" x14ac:dyDescent="0.35">
      <c r="A869" s="29">
        <v>45999</v>
      </c>
      <c r="B869" s="30" t="s">
        <v>46</v>
      </c>
      <c r="C869" s="31" t="str">
        <f>VLOOKUP(B869,'Kode Data'!$B$3:$C$23,2,0)</f>
        <v>Karung Kemasan 25 Kg</v>
      </c>
      <c r="D869" s="30" t="str">
        <f>VLOOKUP(LEFT(B869,2),'Kode Data'!$E$3:$G$6,3,0)</f>
        <v>Kemasan</v>
      </c>
      <c r="E869" s="31" t="s">
        <v>84</v>
      </c>
      <c r="F869" s="30">
        <v>0</v>
      </c>
      <c r="G869" s="30">
        <v>200</v>
      </c>
      <c r="H869" s="30">
        <v>4570</v>
      </c>
      <c r="I869" s="30">
        <v>4370</v>
      </c>
      <c r="J869" s="30" t="s">
        <v>80</v>
      </c>
      <c r="K869" s="32" t="s">
        <v>93</v>
      </c>
    </row>
    <row r="870" spans="1:11" ht="14.5" x14ac:dyDescent="0.35">
      <c r="A870" s="29">
        <v>45999</v>
      </c>
      <c r="B870" s="30" t="s">
        <v>50</v>
      </c>
      <c r="C870" s="31" t="str">
        <f>VLOOKUP(B870,'Kode Data'!$B$3:$C$23,2,0)</f>
        <v>Plastik Kemasan 1 Kg</v>
      </c>
      <c r="D870" s="30" t="str">
        <f>VLOOKUP(LEFT(B870,2),'Kode Data'!$E$3:$G$6,3,0)</f>
        <v>Kemasan</v>
      </c>
      <c r="E870" s="31" t="s">
        <v>92</v>
      </c>
      <c r="F870" s="30">
        <v>1000</v>
      </c>
      <c r="G870" s="30">
        <v>0</v>
      </c>
      <c r="H870" s="30">
        <v>13400</v>
      </c>
      <c r="I870" s="30">
        <v>14400</v>
      </c>
      <c r="J870" s="30" t="s">
        <v>80</v>
      </c>
      <c r="K870" s="32" t="s">
        <v>85</v>
      </c>
    </row>
    <row r="871" spans="1:11" ht="14.5" x14ac:dyDescent="0.35">
      <c r="A871" s="33">
        <v>45999</v>
      </c>
      <c r="B871" s="30" t="s">
        <v>19</v>
      </c>
      <c r="C871" s="31" t="str">
        <f>VLOOKUP(B871,'Kode Data'!$B$3:$C$23,2,0)</f>
        <v>Bran Gandum</v>
      </c>
      <c r="D871" s="30" t="str">
        <f>VLOOKUP(LEFT(B871,2),'Kode Data'!$E$3:$G$6,3,0)</f>
        <v>Bahan Baku</v>
      </c>
      <c r="E871" s="31" t="s">
        <v>79</v>
      </c>
      <c r="F871" s="30">
        <v>0</v>
      </c>
      <c r="G871" s="30">
        <v>350</v>
      </c>
      <c r="H871" s="30">
        <v>3200</v>
      </c>
      <c r="I871" s="30">
        <v>2850</v>
      </c>
      <c r="J871" s="30" t="s">
        <v>87</v>
      </c>
      <c r="K871" s="32" t="s">
        <v>104</v>
      </c>
    </row>
    <row r="872" spans="1:11" ht="14.5" x14ac:dyDescent="0.35">
      <c r="A872" s="33">
        <v>46000</v>
      </c>
      <c r="B872" s="30" t="s">
        <v>9</v>
      </c>
      <c r="C872" s="31" t="str">
        <f>VLOOKUP(B872,'Kode Data'!$B$3:$C$23,2,0)</f>
        <v>Gandum Soft Wheat</v>
      </c>
      <c r="D872" s="30" t="str">
        <f>VLOOKUP(LEFT(B872,2),'Kode Data'!$E$3:$G$6,3,0)</f>
        <v>Bahan Baku</v>
      </c>
      <c r="E872" s="31" t="s">
        <v>79</v>
      </c>
      <c r="F872" s="30">
        <v>0</v>
      </c>
      <c r="G872" s="30">
        <v>350</v>
      </c>
      <c r="H872" s="30">
        <v>3150</v>
      </c>
      <c r="I872" s="30">
        <v>2800</v>
      </c>
      <c r="J872" s="30" t="s">
        <v>87</v>
      </c>
      <c r="K872" s="32" t="s">
        <v>104</v>
      </c>
    </row>
    <row r="873" spans="1:11" ht="14.5" x14ac:dyDescent="0.35">
      <c r="A873" s="33">
        <v>46000</v>
      </c>
      <c r="B873" s="30" t="s">
        <v>14</v>
      </c>
      <c r="C873" s="31" t="str">
        <f>VLOOKUP(B873,'Kode Data'!$B$3:$C$23,2,0)</f>
        <v>Gandum Durum</v>
      </c>
      <c r="D873" s="30" t="str">
        <f>VLOOKUP(LEFT(B873,2),'Kode Data'!$E$3:$G$6,3,0)</f>
        <v>Bahan Baku</v>
      </c>
      <c r="E873" s="31" t="s">
        <v>98</v>
      </c>
      <c r="F873" s="30">
        <v>0</v>
      </c>
      <c r="G873" s="30">
        <v>300</v>
      </c>
      <c r="H873" s="30">
        <v>1880</v>
      </c>
      <c r="I873" s="30">
        <v>1580</v>
      </c>
      <c r="J873" s="30" t="s">
        <v>87</v>
      </c>
      <c r="K873" s="32" t="s">
        <v>104</v>
      </c>
    </row>
    <row r="874" spans="1:11" ht="14.5" x14ac:dyDescent="0.35">
      <c r="A874" s="33">
        <v>46000</v>
      </c>
      <c r="B874" s="30" t="s">
        <v>24</v>
      </c>
      <c r="C874" s="31" t="str">
        <f>VLOOKUP(B874,'Kode Data'!$B$3:$C$23,2,0)</f>
        <v>Germ Gandum</v>
      </c>
      <c r="D874" s="30" t="str">
        <f>VLOOKUP(LEFT(B874,2),'Kode Data'!$E$3:$G$6,3,0)</f>
        <v>Bahan Baku</v>
      </c>
      <c r="E874" s="31" t="s">
        <v>89</v>
      </c>
      <c r="F874" s="30">
        <v>0</v>
      </c>
      <c r="G874" s="30">
        <v>220</v>
      </c>
      <c r="H874" s="30">
        <v>2580</v>
      </c>
      <c r="I874" s="30">
        <v>2360</v>
      </c>
      <c r="J874" s="30" t="s">
        <v>87</v>
      </c>
      <c r="K874" s="32" t="s">
        <v>104</v>
      </c>
    </row>
    <row r="875" spans="1:11" ht="14.5" x14ac:dyDescent="0.35">
      <c r="A875" s="29">
        <v>46001</v>
      </c>
      <c r="B875" s="30" t="s">
        <v>68</v>
      </c>
      <c r="C875" s="31" t="str">
        <f>VLOOKUP(B875,'Kode Data'!$B$3:$C$23,2,0)</f>
        <v>Tepung Terigu Khusus Kue</v>
      </c>
      <c r="D875" s="30" t="str">
        <f>VLOOKUP(LEFT(B875,2),'Kode Data'!$E$3:$G$6,3,0)</f>
        <v>Produk</v>
      </c>
      <c r="E875" s="31" t="s">
        <v>89</v>
      </c>
      <c r="F875" s="30">
        <v>600</v>
      </c>
      <c r="G875" s="30">
        <v>0</v>
      </c>
      <c r="H875" s="30">
        <v>3550</v>
      </c>
      <c r="I875" s="30">
        <v>4150</v>
      </c>
      <c r="J875" s="30" t="s">
        <v>80</v>
      </c>
      <c r="K875" s="32" t="s">
        <v>81</v>
      </c>
    </row>
    <row r="876" spans="1:11" ht="14.5" x14ac:dyDescent="0.35">
      <c r="A876" s="29">
        <v>46001</v>
      </c>
      <c r="B876" s="30" t="s">
        <v>46</v>
      </c>
      <c r="C876" s="31" t="str">
        <f>VLOOKUP(B876,'Kode Data'!$B$3:$C$23,2,0)</f>
        <v>Karung Kemasan 25 Kg</v>
      </c>
      <c r="D876" s="30" t="str">
        <f>VLOOKUP(LEFT(B876,2),'Kode Data'!$E$3:$G$6,3,0)</f>
        <v>Kemasan</v>
      </c>
      <c r="E876" s="31" t="s">
        <v>84</v>
      </c>
      <c r="F876" s="30">
        <v>500</v>
      </c>
      <c r="G876" s="30">
        <v>0</v>
      </c>
      <c r="H876" s="30">
        <v>4370</v>
      </c>
      <c r="I876" s="30">
        <v>4870</v>
      </c>
      <c r="J876" s="30" t="s">
        <v>80</v>
      </c>
      <c r="K876" s="32" t="s">
        <v>85</v>
      </c>
    </row>
    <row r="877" spans="1:11" ht="14.5" x14ac:dyDescent="0.35">
      <c r="A877" s="29">
        <v>46001</v>
      </c>
      <c r="B877" s="30" t="s">
        <v>50</v>
      </c>
      <c r="C877" s="31" t="str">
        <f>VLOOKUP(B877,'Kode Data'!$B$3:$C$23,2,0)</f>
        <v>Plastik Kemasan 1 Kg</v>
      </c>
      <c r="D877" s="30" t="str">
        <f>VLOOKUP(LEFT(B877,2),'Kode Data'!$E$3:$G$6,3,0)</f>
        <v>Kemasan</v>
      </c>
      <c r="E877" s="31" t="s">
        <v>99</v>
      </c>
      <c r="F877" s="30">
        <v>0</v>
      </c>
      <c r="G877" s="30">
        <v>500</v>
      </c>
      <c r="H877" s="30">
        <v>14400</v>
      </c>
      <c r="I877" s="30">
        <v>13900</v>
      </c>
      <c r="J877" s="30" t="s">
        <v>80</v>
      </c>
      <c r="K877" s="32" t="s">
        <v>93</v>
      </c>
    </row>
    <row r="878" spans="1:11" ht="14.5" x14ac:dyDescent="0.35">
      <c r="A878" s="33">
        <v>46001</v>
      </c>
      <c r="B878" s="30" t="s">
        <v>54</v>
      </c>
      <c r="C878" s="31" t="str">
        <f>VLOOKUP(B878,'Kode Data'!$B$3:$C$23,2,0)</f>
        <v>Karton Box</v>
      </c>
      <c r="D878" s="30" t="str">
        <f>VLOOKUP(LEFT(B878,2),'Kode Data'!$E$3:$G$6,3,0)</f>
        <v>Kemasan</v>
      </c>
      <c r="E878" s="31" t="s">
        <v>97</v>
      </c>
      <c r="F878" s="30">
        <v>0</v>
      </c>
      <c r="G878" s="30">
        <v>500</v>
      </c>
      <c r="H878" s="30">
        <v>14750</v>
      </c>
      <c r="I878" s="30">
        <v>14250</v>
      </c>
      <c r="J878" s="30" t="s">
        <v>80</v>
      </c>
      <c r="K878" s="32" t="s">
        <v>93</v>
      </c>
    </row>
    <row r="879" spans="1:11" ht="14.5" x14ac:dyDescent="0.35">
      <c r="A879" s="29">
        <v>46002</v>
      </c>
      <c r="B879" s="30" t="s">
        <v>60</v>
      </c>
      <c r="C879" s="31" t="str">
        <f>VLOOKUP(B879,'Kode Data'!$B$3:$C$23,2,0)</f>
        <v>Tepung Terigu Protein Tinggi</v>
      </c>
      <c r="D879" s="30" t="str">
        <f>VLOOKUP(LEFT(B879,2),'Kode Data'!$E$3:$G$6,3,0)</f>
        <v>Produk</v>
      </c>
      <c r="E879" s="31" t="s">
        <v>102</v>
      </c>
      <c r="F879" s="30">
        <v>0</v>
      </c>
      <c r="G879" s="30">
        <v>500</v>
      </c>
      <c r="H879" s="30">
        <v>2500</v>
      </c>
      <c r="I879" s="30">
        <v>2000</v>
      </c>
      <c r="J879" s="30" t="s">
        <v>80</v>
      </c>
      <c r="K879" s="32" t="s">
        <v>90</v>
      </c>
    </row>
    <row r="880" spans="1:11" ht="14.5" x14ac:dyDescent="0.35">
      <c r="A880" s="29">
        <v>46002</v>
      </c>
      <c r="B880" s="30" t="s">
        <v>62</v>
      </c>
      <c r="C880" s="31" t="str">
        <f>VLOOKUP(B880,'Kode Data'!$B$3:$C$23,2,0)</f>
        <v>Tepung Terigu Serbaguna</v>
      </c>
      <c r="D880" s="30" t="str">
        <f>VLOOKUP(LEFT(B880,2),'Kode Data'!$E$3:$G$6,3,0)</f>
        <v>Produk</v>
      </c>
      <c r="E880" s="31" t="s">
        <v>82</v>
      </c>
      <c r="F880" s="30">
        <v>0</v>
      </c>
      <c r="G880" s="30">
        <v>800</v>
      </c>
      <c r="H880" s="30">
        <v>3800</v>
      </c>
      <c r="I880" s="30">
        <v>3000</v>
      </c>
      <c r="J880" s="30" t="s">
        <v>80</v>
      </c>
      <c r="K880" s="32" t="s">
        <v>90</v>
      </c>
    </row>
    <row r="881" spans="1:11" ht="14.5" x14ac:dyDescent="0.35">
      <c r="A881" s="29">
        <v>46002</v>
      </c>
      <c r="B881" s="30" t="s">
        <v>46</v>
      </c>
      <c r="C881" s="31" t="str">
        <f>VLOOKUP(B881,'Kode Data'!$B$3:$C$23,2,0)</f>
        <v>Karung Kemasan 25 Kg</v>
      </c>
      <c r="D881" s="30" t="str">
        <f>VLOOKUP(LEFT(B881,2),'Kode Data'!$E$3:$G$6,3,0)</f>
        <v>Kemasan</v>
      </c>
      <c r="E881" s="31" t="s">
        <v>86</v>
      </c>
      <c r="F881" s="30">
        <v>0</v>
      </c>
      <c r="G881" s="30">
        <v>250</v>
      </c>
      <c r="H881" s="30">
        <v>4870</v>
      </c>
      <c r="I881" s="30">
        <v>4620</v>
      </c>
      <c r="J881" s="30" t="s">
        <v>80</v>
      </c>
      <c r="K881" s="32" t="s">
        <v>93</v>
      </c>
    </row>
    <row r="882" spans="1:11" ht="14.5" x14ac:dyDescent="0.35">
      <c r="A882" s="33">
        <v>46002</v>
      </c>
      <c r="B882" s="30" t="s">
        <v>58</v>
      </c>
      <c r="C882" s="31" t="str">
        <f>VLOOKUP(B882,'Kode Data'!$B$3:$C$23,2,0)</f>
        <v>Pallet Kayu</v>
      </c>
      <c r="D882" s="30" t="str">
        <f>VLOOKUP(LEFT(B882,2),'Kode Data'!$E$3:$G$6,3,0)</f>
        <v>Kemasan</v>
      </c>
      <c r="E882" s="31" t="s">
        <v>122</v>
      </c>
      <c r="F882" s="30">
        <v>0</v>
      </c>
      <c r="G882" s="30">
        <v>50</v>
      </c>
      <c r="H882" s="30">
        <v>390</v>
      </c>
      <c r="I882" s="30">
        <v>340</v>
      </c>
      <c r="J882" s="30" t="s">
        <v>80</v>
      </c>
      <c r="K882" s="32" t="s">
        <v>93</v>
      </c>
    </row>
    <row r="883" spans="1:11" ht="14.5" x14ac:dyDescent="0.35">
      <c r="A883" s="29">
        <v>46003</v>
      </c>
      <c r="B883" s="30" t="s">
        <v>26</v>
      </c>
      <c r="C883" s="31" t="str">
        <f>VLOOKUP(B883,'Kode Data'!$B$3:$C$23,2,0)</f>
        <v>Enzim Baking</v>
      </c>
      <c r="D883" s="30" t="str">
        <f>VLOOKUP(LEFT(B883,2),'Kode Data'!$E$3:$G$6,3,0)</f>
        <v>Bahan Tambahan</v>
      </c>
      <c r="E883" s="31" t="s">
        <v>100</v>
      </c>
      <c r="F883" s="30">
        <v>0</v>
      </c>
      <c r="G883" s="30">
        <v>105</v>
      </c>
      <c r="H883" s="30">
        <v>415</v>
      </c>
      <c r="I883" s="30">
        <v>310</v>
      </c>
      <c r="J883" s="30" t="s">
        <v>87</v>
      </c>
      <c r="K883" s="32" t="s">
        <v>104</v>
      </c>
    </row>
    <row r="884" spans="1:11" ht="14.5" x14ac:dyDescent="0.35">
      <c r="A884" s="29">
        <v>46003</v>
      </c>
      <c r="B884" s="30" t="s">
        <v>30</v>
      </c>
      <c r="C884" s="31" t="str">
        <f>VLOOKUP(B884,'Kode Data'!$B$3:$C$23,2,0)</f>
        <v>Vitamin Fortifikasi</v>
      </c>
      <c r="D884" s="30" t="str">
        <f>VLOOKUP(LEFT(B884,2),'Kode Data'!$E$3:$G$6,3,0)</f>
        <v>Bahan Tambahan</v>
      </c>
      <c r="E884" s="31" t="s">
        <v>101</v>
      </c>
      <c r="F884" s="30">
        <v>0</v>
      </c>
      <c r="G884" s="30">
        <v>110</v>
      </c>
      <c r="H884" s="30">
        <v>1040</v>
      </c>
      <c r="I884" s="30">
        <v>930</v>
      </c>
      <c r="J884" s="30" t="s">
        <v>87</v>
      </c>
      <c r="K884" s="32" t="s">
        <v>104</v>
      </c>
    </row>
    <row r="885" spans="1:11" ht="14.5" x14ac:dyDescent="0.35">
      <c r="A885" s="29">
        <v>46003</v>
      </c>
      <c r="B885" s="30" t="s">
        <v>34</v>
      </c>
      <c r="C885" s="31" t="str">
        <f>VLOOKUP(B885,'Kode Data'!$B$3:$C$23,2,0)</f>
        <v>Tepung Premix</v>
      </c>
      <c r="D885" s="30" t="str">
        <f>VLOOKUP(LEFT(B885,2),'Kode Data'!$E$3:$G$6,3,0)</f>
        <v>Bahan Tambahan</v>
      </c>
      <c r="E885" s="31" t="s">
        <v>82</v>
      </c>
      <c r="F885" s="30">
        <v>0</v>
      </c>
      <c r="G885" s="30">
        <v>200</v>
      </c>
      <c r="H885" s="30">
        <v>1070</v>
      </c>
      <c r="I885" s="30">
        <v>870</v>
      </c>
      <c r="J885" s="30" t="s">
        <v>87</v>
      </c>
      <c r="K885" s="32" t="s">
        <v>104</v>
      </c>
    </row>
    <row r="886" spans="1:11" ht="14.5" x14ac:dyDescent="0.35">
      <c r="A886" s="29">
        <v>46003</v>
      </c>
      <c r="B886" s="30" t="s">
        <v>42</v>
      </c>
      <c r="C886" s="31" t="str">
        <f>VLOOKUP(B886,'Kode Data'!$B$3:$C$23,2,0)</f>
        <v>Calcium Propionate</v>
      </c>
      <c r="D886" s="30" t="str">
        <f>VLOOKUP(LEFT(B886,2),'Kode Data'!$E$3:$G$6,3,0)</f>
        <v>Bahan Tambahan</v>
      </c>
      <c r="E886" s="31" t="s">
        <v>121</v>
      </c>
      <c r="F886" s="30">
        <v>0</v>
      </c>
      <c r="G886" s="30">
        <v>40</v>
      </c>
      <c r="H886" s="30">
        <v>750</v>
      </c>
      <c r="I886" s="30">
        <v>710</v>
      </c>
      <c r="J886" s="30" t="s">
        <v>87</v>
      </c>
      <c r="K886" s="32" t="s">
        <v>104</v>
      </c>
    </row>
    <row r="887" spans="1:11" ht="14.5" x14ac:dyDescent="0.35">
      <c r="A887" s="29">
        <v>46003</v>
      </c>
      <c r="B887" s="30" t="s">
        <v>68</v>
      </c>
      <c r="C887" s="31" t="str">
        <f>VLOOKUP(B887,'Kode Data'!$B$3:$C$23,2,0)</f>
        <v>Tepung Terigu Khusus Kue</v>
      </c>
      <c r="D887" s="30" t="str">
        <f>VLOOKUP(LEFT(B887,2),'Kode Data'!$E$3:$G$6,3,0)</f>
        <v>Produk</v>
      </c>
      <c r="E887" s="31" t="s">
        <v>83</v>
      </c>
      <c r="F887" s="30">
        <v>0</v>
      </c>
      <c r="G887" s="30">
        <v>500</v>
      </c>
      <c r="H887" s="30">
        <v>4150</v>
      </c>
      <c r="I887" s="30">
        <v>3650</v>
      </c>
      <c r="J887" s="30" t="s">
        <v>80</v>
      </c>
      <c r="K887" s="32" t="s">
        <v>90</v>
      </c>
    </row>
    <row r="888" spans="1:11" ht="14.5" x14ac:dyDescent="0.35">
      <c r="A888" s="29">
        <v>46003</v>
      </c>
      <c r="B888" s="30" t="s">
        <v>50</v>
      </c>
      <c r="C888" s="31" t="str">
        <f>VLOOKUP(B888,'Kode Data'!$B$3:$C$23,2,0)</f>
        <v>Plastik Kemasan 1 Kg</v>
      </c>
      <c r="D888" s="30" t="str">
        <f>VLOOKUP(LEFT(B888,2),'Kode Data'!$E$3:$G$6,3,0)</f>
        <v>Kemasan</v>
      </c>
      <c r="E888" s="31" t="s">
        <v>86</v>
      </c>
      <c r="F888" s="30">
        <v>1100</v>
      </c>
      <c r="G888" s="30">
        <v>0</v>
      </c>
      <c r="H888" s="30">
        <v>13900</v>
      </c>
      <c r="I888" s="30">
        <v>15000</v>
      </c>
      <c r="J888" s="30" t="s">
        <v>80</v>
      </c>
      <c r="K888" s="32" t="s">
        <v>85</v>
      </c>
    </row>
    <row r="889" spans="1:11" ht="14.5" x14ac:dyDescent="0.35">
      <c r="A889" s="29">
        <v>46004</v>
      </c>
      <c r="B889" s="30" t="s">
        <v>38</v>
      </c>
      <c r="C889" s="31" t="str">
        <f>VLOOKUP(B889,'Kode Data'!$B$3:$C$23,2,0)</f>
        <v>Improver Tepung</v>
      </c>
      <c r="D889" s="30" t="str">
        <f>VLOOKUP(LEFT(B889,2),'Kode Data'!$E$3:$G$6,3,0)</f>
        <v>Bahan Tambahan</v>
      </c>
      <c r="E889" s="31" t="s">
        <v>95</v>
      </c>
      <c r="F889" s="30">
        <v>0</v>
      </c>
      <c r="G889" s="30">
        <v>170</v>
      </c>
      <c r="H889" s="30">
        <v>590</v>
      </c>
      <c r="I889" s="30">
        <v>420</v>
      </c>
      <c r="J889" s="30" t="s">
        <v>87</v>
      </c>
      <c r="K889" s="32" t="s">
        <v>104</v>
      </c>
    </row>
    <row r="890" spans="1:11" ht="14.5" x14ac:dyDescent="0.35">
      <c r="A890" s="29">
        <v>46004</v>
      </c>
      <c r="B890" s="30" t="s">
        <v>68</v>
      </c>
      <c r="C890" s="31" t="str">
        <f>VLOOKUP(B890,'Kode Data'!$B$3:$C$23,2,0)</f>
        <v>Tepung Terigu Khusus Kue</v>
      </c>
      <c r="D890" s="30" t="str">
        <f>VLOOKUP(LEFT(B890,2),'Kode Data'!$E$3:$G$6,3,0)</f>
        <v>Produk</v>
      </c>
      <c r="E890" s="31" t="s">
        <v>91</v>
      </c>
      <c r="F890" s="30">
        <v>550</v>
      </c>
      <c r="G890" s="30">
        <v>0</v>
      </c>
      <c r="H890" s="30">
        <v>3650</v>
      </c>
      <c r="I890" s="30">
        <v>4200</v>
      </c>
      <c r="J890" s="30" t="s">
        <v>80</v>
      </c>
      <c r="K890" s="32" t="s">
        <v>81</v>
      </c>
    </row>
    <row r="891" spans="1:11" ht="14.5" x14ac:dyDescent="0.35">
      <c r="A891" s="29">
        <v>46004</v>
      </c>
      <c r="B891" s="30" t="s">
        <v>46</v>
      </c>
      <c r="C891" s="31" t="str">
        <f>VLOOKUP(B891,'Kode Data'!$B$3:$C$23,2,0)</f>
        <v>Karung Kemasan 25 Kg</v>
      </c>
      <c r="D891" s="30" t="str">
        <f>VLOOKUP(LEFT(B891,2),'Kode Data'!$E$3:$G$6,3,0)</f>
        <v>Kemasan</v>
      </c>
      <c r="E891" s="31" t="s">
        <v>97</v>
      </c>
      <c r="F891" s="30">
        <v>400</v>
      </c>
      <c r="G891" s="30">
        <v>0</v>
      </c>
      <c r="H891" s="30">
        <v>4620</v>
      </c>
      <c r="I891" s="30">
        <v>5020</v>
      </c>
      <c r="J891" s="30" t="s">
        <v>80</v>
      </c>
      <c r="K891" s="32" t="s">
        <v>85</v>
      </c>
    </row>
    <row r="892" spans="1:11" ht="14.5" x14ac:dyDescent="0.35">
      <c r="A892" s="29">
        <v>46005</v>
      </c>
      <c r="B892" s="30" t="s">
        <v>50</v>
      </c>
      <c r="C892" s="31" t="str">
        <f>VLOOKUP(B892,'Kode Data'!$B$3:$C$23,2,0)</f>
        <v>Plastik Kemasan 1 Kg</v>
      </c>
      <c r="D892" s="30" t="str">
        <f>VLOOKUP(LEFT(B892,2),'Kode Data'!$E$3:$G$6,3,0)</f>
        <v>Kemasan</v>
      </c>
      <c r="E892" s="31" t="s">
        <v>92</v>
      </c>
      <c r="F892" s="30">
        <v>0</v>
      </c>
      <c r="G892" s="30">
        <v>600</v>
      </c>
      <c r="H892" s="30">
        <v>15000</v>
      </c>
      <c r="I892" s="30">
        <v>14400</v>
      </c>
      <c r="J892" s="30" t="s">
        <v>80</v>
      </c>
      <c r="K892" s="32" t="s">
        <v>93</v>
      </c>
    </row>
    <row r="893" spans="1:11" ht="14.5" x14ac:dyDescent="0.35">
      <c r="A893" s="29">
        <v>46006</v>
      </c>
      <c r="B893" s="30" t="s">
        <v>68</v>
      </c>
      <c r="C893" s="31" t="str">
        <f>VLOOKUP(B893,'Kode Data'!$B$3:$C$23,2,0)</f>
        <v>Tepung Terigu Khusus Kue</v>
      </c>
      <c r="D893" s="30" t="str">
        <f>VLOOKUP(LEFT(B893,2),'Kode Data'!$E$3:$G$6,3,0)</f>
        <v>Produk</v>
      </c>
      <c r="E893" s="31" t="s">
        <v>89</v>
      </c>
      <c r="F893" s="30">
        <v>0</v>
      </c>
      <c r="G893" s="30">
        <v>450</v>
      </c>
      <c r="H893" s="30">
        <v>4200</v>
      </c>
      <c r="I893" s="30">
        <v>3750</v>
      </c>
      <c r="J893" s="30" t="s">
        <v>80</v>
      </c>
      <c r="K893" s="32" t="s">
        <v>90</v>
      </c>
    </row>
    <row r="894" spans="1:11" ht="14.5" x14ac:dyDescent="0.35">
      <c r="A894" s="29">
        <v>46006</v>
      </c>
      <c r="B894" s="30" t="s">
        <v>46</v>
      </c>
      <c r="C894" s="31" t="str">
        <f>VLOOKUP(B894,'Kode Data'!$B$3:$C$23,2,0)</f>
        <v>Karung Kemasan 25 Kg</v>
      </c>
      <c r="D894" s="30" t="str">
        <f>VLOOKUP(LEFT(B894,2),'Kode Data'!$E$3:$G$6,3,0)</f>
        <v>Kemasan</v>
      </c>
      <c r="E894" s="31" t="s">
        <v>84</v>
      </c>
      <c r="F894" s="30">
        <v>0</v>
      </c>
      <c r="G894" s="30">
        <v>300</v>
      </c>
      <c r="H894" s="30">
        <v>5020</v>
      </c>
      <c r="I894" s="30">
        <v>4720</v>
      </c>
      <c r="J894" s="30" t="s">
        <v>80</v>
      </c>
      <c r="K894" s="32" t="s">
        <v>93</v>
      </c>
    </row>
    <row r="895" spans="1:11" ht="14.5" x14ac:dyDescent="0.35">
      <c r="A895" s="33">
        <v>46006</v>
      </c>
      <c r="B895" s="30" t="s">
        <v>4</v>
      </c>
      <c r="C895" s="31" t="str">
        <f>VLOOKUP(B895,'Kode Data'!$B$3:$C$23,2,0)</f>
        <v>Gandum Hard Wheat</v>
      </c>
      <c r="D895" s="30" t="str">
        <f>VLOOKUP(LEFT(B895,2),'Kode Data'!$E$3:$G$6,3,0)</f>
        <v>Bahan Baku</v>
      </c>
      <c r="E895" s="31" t="s">
        <v>89</v>
      </c>
      <c r="F895" s="30">
        <v>0</v>
      </c>
      <c r="G895" s="30">
        <v>450</v>
      </c>
      <c r="H895" s="30">
        <v>4050</v>
      </c>
      <c r="I895" s="30">
        <v>3600</v>
      </c>
      <c r="J895" s="30" t="s">
        <v>87</v>
      </c>
      <c r="K895" s="32" t="s">
        <v>104</v>
      </c>
    </row>
    <row r="896" spans="1:11" ht="14.5" x14ac:dyDescent="0.35">
      <c r="A896" s="33">
        <v>46006</v>
      </c>
      <c r="B896" s="30" t="s">
        <v>14</v>
      </c>
      <c r="C896" s="31" t="str">
        <f>VLOOKUP(B896,'Kode Data'!$B$3:$C$23,2,0)</f>
        <v>Gandum Durum</v>
      </c>
      <c r="D896" s="30" t="str">
        <f>VLOOKUP(LEFT(B896,2),'Kode Data'!$E$3:$G$6,3,0)</f>
        <v>Bahan Baku</v>
      </c>
      <c r="E896" s="31" t="s">
        <v>79</v>
      </c>
      <c r="F896" s="30">
        <v>260</v>
      </c>
      <c r="G896" s="30">
        <v>0</v>
      </c>
      <c r="H896" s="30">
        <v>1580</v>
      </c>
      <c r="I896" s="30">
        <v>1840</v>
      </c>
      <c r="J896" s="30" t="s">
        <v>87</v>
      </c>
      <c r="K896" s="32" t="s">
        <v>110</v>
      </c>
    </row>
    <row r="897" spans="1:11" ht="14.5" x14ac:dyDescent="0.35">
      <c r="A897" s="29">
        <v>46007</v>
      </c>
      <c r="B897" s="30" t="s">
        <v>50</v>
      </c>
      <c r="C897" s="31" t="str">
        <f>VLOOKUP(B897,'Kode Data'!$B$3:$C$23,2,0)</f>
        <v>Plastik Kemasan 1 Kg</v>
      </c>
      <c r="D897" s="30" t="str">
        <f>VLOOKUP(LEFT(B897,2),'Kode Data'!$E$3:$G$6,3,0)</f>
        <v>Kemasan</v>
      </c>
      <c r="E897" s="31" t="s">
        <v>99</v>
      </c>
      <c r="F897" s="30">
        <v>1000</v>
      </c>
      <c r="G897" s="30">
        <v>0</v>
      </c>
      <c r="H897" s="30">
        <v>14400</v>
      </c>
      <c r="I897" s="30">
        <v>15400</v>
      </c>
      <c r="J897" s="30" t="s">
        <v>80</v>
      </c>
      <c r="K897" s="32" t="s">
        <v>85</v>
      </c>
    </row>
    <row r="898" spans="1:11" ht="14.5" x14ac:dyDescent="0.35">
      <c r="A898" s="33">
        <v>46007</v>
      </c>
      <c r="B898" s="30" t="s">
        <v>56</v>
      </c>
      <c r="C898" s="31" t="str">
        <f>VLOOKUP(B898,'Kode Data'!$B$3:$C$23,2,0)</f>
        <v>Label Produk</v>
      </c>
      <c r="D898" s="30" t="str">
        <f>VLOOKUP(LEFT(B898,2),'Kode Data'!$E$3:$G$6,3,0)</f>
        <v>Kemasan</v>
      </c>
      <c r="E898" s="31" t="s">
        <v>120</v>
      </c>
      <c r="F898" s="30">
        <v>400</v>
      </c>
      <c r="G898" s="30">
        <v>0</v>
      </c>
      <c r="H898" s="30">
        <v>2200</v>
      </c>
      <c r="I898" s="30">
        <v>2600</v>
      </c>
      <c r="J898" s="30" t="s">
        <v>80</v>
      </c>
      <c r="K898" s="32" t="s">
        <v>85</v>
      </c>
    </row>
    <row r="899" spans="1:11" ht="14.5" x14ac:dyDescent="0.35">
      <c r="A899" s="29">
        <v>46008</v>
      </c>
      <c r="B899" s="30" t="s">
        <v>46</v>
      </c>
      <c r="C899" s="31" t="str">
        <f>VLOOKUP(B899,'Kode Data'!$B$3:$C$23,2,0)</f>
        <v>Karung Kemasan 25 Kg</v>
      </c>
      <c r="D899" s="30" t="str">
        <f>VLOOKUP(LEFT(B899,2),'Kode Data'!$E$3:$G$6,3,0)</f>
        <v>Kemasan</v>
      </c>
      <c r="E899" s="31" t="s">
        <v>84</v>
      </c>
      <c r="F899" s="30">
        <v>450</v>
      </c>
      <c r="G899" s="30">
        <v>0</v>
      </c>
      <c r="H899" s="30">
        <v>4720</v>
      </c>
      <c r="I899" s="30">
        <v>5170</v>
      </c>
      <c r="J899" s="30" t="s">
        <v>80</v>
      </c>
      <c r="K899" s="32" t="s">
        <v>85</v>
      </c>
    </row>
    <row r="900" spans="1:11" ht="14.5" x14ac:dyDescent="0.35">
      <c r="A900" s="33">
        <v>46008</v>
      </c>
      <c r="B900" s="30" t="s">
        <v>52</v>
      </c>
      <c r="C900" s="31" t="str">
        <f>VLOOKUP(B900,'Kode Data'!$B$3:$C$23,2,0)</f>
        <v>Plastik Kemasan 500 gr</v>
      </c>
      <c r="D900" s="30" t="str">
        <f>VLOOKUP(LEFT(B900,2),'Kode Data'!$E$3:$G$6,3,0)</f>
        <v>Kemasan</v>
      </c>
      <c r="E900" s="31" t="s">
        <v>86</v>
      </c>
      <c r="F900" s="30">
        <v>0</v>
      </c>
      <c r="G900" s="30">
        <v>400</v>
      </c>
      <c r="H900" s="30">
        <v>9750</v>
      </c>
      <c r="I900" s="30">
        <v>9350</v>
      </c>
      <c r="J900" s="30" t="s">
        <v>80</v>
      </c>
      <c r="K900" s="32" t="s">
        <v>93</v>
      </c>
    </row>
    <row r="901" spans="1:11" ht="14.5" x14ac:dyDescent="0.35">
      <c r="A901" s="33">
        <v>46008</v>
      </c>
      <c r="B901" s="30" t="s">
        <v>9</v>
      </c>
      <c r="C901" s="31" t="str">
        <f>VLOOKUP(B901,'Kode Data'!$B$3:$C$23,2,0)</f>
        <v>Gandum Soft Wheat</v>
      </c>
      <c r="D901" s="30" t="str">
        <f>VLOOKUP(LEFT(B901,2),'Kode Data'!$E$3:$G$6,3,0)</f>
        <v>Bahan Baku</v>
      </c>
      <c r="E901" s="31" t="s">
        <v>89</v>
      </c>
      <c r="F901" s="30">
        <v>300</v>
      </c>
      <c r="G901" s="30">
        <v>0</v>
      </c>
      <c r="H901" s="30">
        <v>2800</v>
      </c>
      <c r="I901" s="30">
        <v>3100</v>
      </c>
      <c r="J901" s="30" t="s">
        <v>87</v>
      </c>
      <c r="K901" s="32" t="s">
        <v>110</v>
      </c>
    </row>
    <row r="902" spans="1:11" ht="14.5" x14ac:dyDescent="0.35">
      <c r="A902" s="33">
        <v>46008</v>
      </c>
      <c r="B902" s="30" t="s">
        <v>24</v>
      </c>
      <c r="C902" s="31" t="str">
        <f>VLOOKUP(B902,'Kode Data'!$B$3:$C$23,2,0)</f>
        <v>Germ Gandum</v>
      </c>
      <c r="D902" s="30" t="str">
        <f>VLOOKUP(LEFT(B902,2),'Kode Data'!$E$3:$G$6,3,0)</f>
        <v>Bahan Baku</v>
      </c>
      <c r="E902" s="31" t="s">
        <v>98</v>
      </c>
      <c r="F902" s="30">
        <v>260</v>
      </c>
      <c r="G902" s="30">
        <v>0</v>
      </c>
      <c r="H902" s="30">
        <v>2360</v>
      </c>
      <c r="I902" s="30">
        <v>2620</v>
      </c>
      <c r="J902" s="30" t="s">
        <v>87</v>
      </c>
      <c r="K902" s="32" t="s">
        <v>110</v>
      </c>
    </row>
    <row r="903" spans="1:11" ht="14.5" x14ac:dyDescent="0.35">
      <c r="A903" s="29">
        <v>46009</v>
      </c>
      <c r="B903" s="30" t="s">
        <v>50</v>
      </c>
      <c r="C903" s="31" t="str">
        <f>VLOOKUP(B903,'Kode Data'!$B$3:$C$23,2,0)</f>
        <v>Plastik Kemasan 1 Kg</v>
      </c>
      <c r="D903" s="30" t="str">
        <f>VLOOKUP(LEFT(B903,2),'Kode Data'!$E$3:$G$6,3,0)</f>
        <v>Kemasan</v>
      </c>
      <c r="E903" s="31" t="s">
        <v>86</v>
      </c>
      <c r="F903" s="30">
        <v>0</v>
      </c>
      <c r="G903" s="30">
        <v>500</v>
      </c>
      <c r="H903" s="30">
        <v>15400</v>
      </c>
      <c r="I903" s="30">
        <v>14900</v>
      </c>
      <c r="J903" s="30" t="s">
        <v>80</v>
      </c>
      <c r="K903" s="32" t="s">
        <v>93</v>
      </c>
    </row>
    <row r="904" spans="1:11" ht="14.5" x14ac:dyDescent="0.35">
      <c r="A904" s="33">
        <v>46009</v>
      </c>
      <c r="B904" s="30" t="s">
        <v>58</v>
      </c>
      <c r="C904" s="31" t="str">
        <f>VLOOKUP(B904,'Kode Data'!$B$3:$C$23,2,0)</f>
        <v>Pallet Kayu</v>
      </c>
      <c r="D904" s="30" t="str">
        <f>VLOOKUP(LEFT(B904,2),'Kode Data'!$E$3:$G$6,3,0)</f>
        <v>Kemasan</v>
      </c>
      <c r="E904" s="31" t="s">
        <v>105</v>
      </c>
      <c r="F904" s="30">
        <v>40</v>
      </c>
      <c r="G904" s="30">
        <v>0</v>
      </c>
      <c r="H904" s="30">
        <v>340</v>
      </c>
      <c r="I904" s="30">
        <v>380</v>
      </c>
      <c r="J904" s="30" t="s">
        <v>80</v>
      </c>
      <c r="K904" s="32" t="s">
        <v>85</v>
      </c>
    </row>
    <row r="905" spans="1:11" ht="14.5" x14ac:dyDescent="0.35">
      <c r="A905" s="29">
        <v>46010</v>
      </c>
      <c r="B905" s="30" t="s">
        <v>60</v>
      </c>
      <c r="C905" s="31" t="str">
        <f>VLOOKUP(B905,'Kode Data'!$B$3:$C$23,2,0)</f>
        <v>Tepung Terigu Protein Tinggi</v>
      </c>
      <c r="D905" s="30" t="str">
        <f>VLOOKUP(LEFT(B905,2),'Kode Data'!$E$3:$G$6,3,0)</f>
        <v>Produk</v>
      </c>
      <c r="E905" s="31" t="s">
        <v>108</v>
      </c>
      <c r="F905" s="30">
        <v>700</v>
      </c>
      <c r="G905" s="30">
        <v>0</v>
      </c>
      <c r="H905" s="30">
        <v>2000</v>
      </c>
      <c r="I905" s="30">
        <v>2700</v>
      </c>
      <c r="J905" s="30" t="s">
        <v>80</v>
      </c>
      <c r="K905" s="32" t="s">
        <v>81</v>
      </c>
    </row>
    <row r="906" spans="1:11" ht="14.5" x14ac:dyDescent="0.35">
      <c r="A906" s="29">
        <v>46010</v>
      </c>
      <c r="B906" s="30" t="s">
        <v>46</v>
      </c>
      <c r="C906" s="31" t="str">
        <f>VLOOKUP(B906,'Kode Data'!$B$3:$C$23,2,0)</f>
        <v>Karung Kemasan 25 Kg</v>
      </c>
      <c r="D906" s="30" t="str">
        <f>VLOOKUP(LEFT(B906,2),'Kode Data'!$E$3:$G$6,3,0)</f>
        <v>Kemasan</v>
      </c>
      <c r="E906" s="31" t="s">
        <v>86</v>
      </c>
      <c r="F906" s="30">
        <v>0</v>
      </c>
      <c r="G906" s="30">
        <v>200</v>
      </c>
      <c r="H906" s="30">
        <v>5170</v>
      </c>
      <c r="I906" s="30">
        <v>4970</v>
      </c>
      <c r="J906" s="30" t="s">
        <v>80</v>
      </c>
      <c r="K906" s="32" t="s">
        <v>93</v>
      </c>
    </row>
    <row r="907" spans="1:11" ht="14.5" x14ac:dyDescent="0.35">
      <c r="A907" s="33">
        <v>46010</v>
      </c>
      <c r="B907" s="30" t="s">
        <v>54</v>
      </c>
      <c r="C907" s="31" t="str">
        <f>VLOOKUP(B907,'Kode Data'!$B$3:$C$23,2,0)</f>
        <v>Karton Box</v>
      </c>
      <c r="D907" s="30" t="str">
        <f>VLOOKUP(LEFT(B907,2),'Kode Data'!$E$3:$G$6,3,0)</f>
        <v>Kemasan</v>
      </c>
      <c r="E907" s="31" t="s">
        <v>109</v>
      </c>
      <c r="F907" s="30">
        <v>800</v>
      </c>
      <c r="G907" s="30">
        <v>0</v>
      </c>
      <c r="H907" s="30">
        <v>14250</v>
      </c>
      <c r="I907" s="30">
        <v>15050</v>
      </c>
      <c r="J907" s="30" t="s">
        <v>80</v>
      </c>
      <c r="K907" s="32" t="s">
        <v>85</v>
      </c>
    </row>
    <row r="908" spans="1:11" ht="14.5" x14ac:dyDescent="0.35">
      <c r="A908" s="33">
        <v>46010</v>
      </c>
      <c r="B908" s="30" t="s">
        <v>19</v>
      </c>
      <c r="C908" s="31" t="str">
        <f>VLOOKUP(B908,'Kode Data'!$B$3:$C$23,2,0)</f>
        <v>Bran Gandum</v>
      </c>
      <c r="D908" s="30" t="str">
        <f>VLOOKUP(LEFT(B908,2),'Kode Data'!$E$3:$G$6,3,0)</f>
        <v>Bahan Baku</v>
      </c>
      <c r="E908" s="31" t="s">
        <v>98</v>
      </c>
      <c r="F908" s="30">
        <v>300</v>
      </c>
      <c r="G908" s="30">
        <v>0</v>
      </c>
      <c r="H908" s="30">
        <v>2850</v>
      </c>
      <c r="I908" s="30">
        <v>3150</v>
      </c>
      <c r="J908" s="30" t="s">
        <v>87</v>
      </c>
      <c r="K908" s="32" t="s">
        <v>110</v>
      </c>
    </row>
    <row r="909" spans="1:11" ht="14.5" x14ac:dyDescent="0.35">
      <c r="A909" s="29">
        <v>46011</v>
      </c>
      <c r="B909" s="30" t="s">
        <v>26</v>
      </c>
      <c r="C909" s="31" t="str">
        <f>VLOOKUP(B909,'Kode Data'!$B$3:$C$23,2,0)</f>
        <v>Enzim Baking</v>
      </c>
      <c r="D909" s="30" t="str">
        <f>VLOOKUP(LEFT(B909,2),'Kode Data'!$E$3:$G$6,3,0)</f>
        <v>Bahan Tambahan</v>
      </c>
      <c r="E909" s="31" t="s">
        <v>106</v>
      </c>
      <c r="F909" s="30">
        <v>90</v>
      </c>
      <c r="G909" s="30">
        <v>0</v>
      </c>
      <c r="H909" s="30">
        <v>310</v>
      </c>
      <c r="I909" s="30">
        <v>400</v>
      </c>
      <c r="J909" s="30" t="s">
        <v>87</v>
      </c>
      <c r="K909" s="32" t="s">
        <v>116</v>
      </c>
    </row>
    <row r="910" spans="1:11" ht="14.5" x14ac:dyDescent="0.35">
      <c r="A910" s="29">
        <v>46011</v>
      </c>
      <c r="B910" s="30" t="s">
        <v>30</v>
      </c>
      <c r="C910" s="31" t="str">
        <f>VLOOKUP(B910,'Kode Data'!$B$3:$C$23,2,0)</f>
        <v>Vitamin Fortifikasi</v>
      </c>
      <c r="D910" s="30" t="str">
        <f>VLOOKUP(LEFT(B910,2),'Kode Data'!$E$3:$G$6,3,0)</f>
        <v>Bahan Tambahan</v>
      </c>
      <c r="E910" s="31" t="s">
        <v>112</v>
      </c>
      <c r="F910" s="30">
        <v>130</v>
      </c>
      <c r="G910" s="30">
        <v>0</v>
      </c>
      <c r="H910" s="30">
        <v>930</v>
      </c>
      <c r="I910" s="30">
        <v>1060</v>
      </c>
      <c r="J910" s="30" t="s">
        <v>87</v>
      </c>
      <c r="K910" s="32" t="s">
        <v>116</v>
      </c>
    </row>
    <row r="911" spans="1:11" ht="14.5" x14ac:dyDescent="0.35">
      <c r="A911" s="29">
        <v>46011</v>
      </c>
      <c r="B911" s="30" t="s">
        <v>34</v>
      </c>
      <c r="C911" s="31" t="str">
        <f>VLOOKUP(B911,'Kode Data'!$B$3:$C$23,2,0)</f>
        <v>Tepung Premix</v>
      </c>
      <c r="D911" s="30" t="str">
        <f>VLOOKUP(LEFT(B911,2),'Kode Data'!$E$3:$G$6,3,0)</f>
        <v>Bahan Tambahan</v>
      </c>
      <c r="E911" s="31" t="s">
        <v>79</v>
      </c>
      <c r="F911" s="30">
        <v>180</v>
      </c>
      <c r="G911" s="30">
        <v>0</v>
      </c>
      <c r="H911" s="30">
        <v>870</v>
      </c>
      <c r="I911" s="30">
        <v>1050</v>
      </c>
      <c r="J911" s="30" t="s">
        <v>87</v>
      </c>
      <c r="K911" s="32" t="s">
        <v>96</v>
      </c>
    </row>
    <row r="912" spans="1:11" ht="14.5" x14ac:dyDescent="0.35">
      <c r="A912" s="29">
        <v>46011</v>
      </c>
      <c r="B912" s="30" t="s">
        <v>62</v>
      </c>
      <c r="C912" s="31" t="str">
        <f>VLOOKUP(B912,'Kode Data'!$B$3:$C$23,2,0)</f>
        <v>Tepung Terigu Serbaguna</v>
      </c>
      <c r="D912" s="30" t="str">
        <f>VLOOKUP(LEFT(B912,2),'Kode Data'!$E$3:$G$6,3,0)</f>
        <v>Produk</v>
      </c>
      <c r="E912" s="31" t="s">
        <v>79</v>
      </c>
      <c r="F912" s="30">
        <v>1000</v>
      </c>
      <c r="G912" s="30">
        <v>0</v>
      </c>
      <c r="H912" s="30">
        <v>3000</v>
      </c>
      <c r="I912" s="30">
        <v>4000</v>
      </c>
      <c r="J912" s="30" t="s">
        <v>80</v>
      </c>
      <c r="K912" s="32" t="s">
        <v>81</v>
      </c>
    </row>
    <row r="913" spans="1:11" ht="14.5" x14ac:dyDescent="0.35">
      <c r="A913" s="29">
        <v>46011</v>
      </c>
      <c r="B913" s="30" t="s">
        <v>46</v>
      </c>
      <c r="C913" s="31" t="str">
        <f>VLOOKUP(B913,'Kode Data'!$B$3:$C$23,2,0)</f>
        <v>Karung Kemasan 25 Kg</v>
      </c>
      <c r="D913" s="30" t="str">
        <f>VLOOKUP(LEFT(B913,2),'Kode Data'!$E$3:$G$6,3,0)</f>
        <v>Kemasan</v>
      </c>
      <c r="E913" s="31" t="s">
        <v>97</v>
      </c>
      <c r="F913" s="30">
        <v>400</v>
      </c>
      <c r="G913" s="30">
        <v>0</v>
      </c>
      <c r="H913" s="30">
        <v>4970</v>
      </c>
      <c r="I913" s="30">
        <v>5370</v>
      </c>
      <c r="J913" s="30" t="s">
        <v>80</v>
      </c>
      <c r="K913" s="32" t="s">
        <v>85</v>
      </c>
    </row>
    <row r="914" spans="1:11" ht="14.5" x14ac:dyDescent="0.35">
      <c r="A914" s="29">
        <v>46011</v>
      </c>
      <c r="B914" s="30" t="s">
        <v>50</v>
      </c>
      <c r="C914" s="31" t="str">
        <f>VLOOKUP(B914,'Kode Data'!$B$3:$C$23,2,0)</f>
        <v>Plastik Kemasan 1 Kg</v>
      </c>
      <c r="D914" s="30" t="str">
        <f>VLOOKUP(LEFT(B914,2),'Kode Data'!$E$3:$G$6,3,0)</f>
        <v>Kemasan</v>
      </c>
      <c r="E914" s="31" t="s">
        <v>92</v>
      </c>
      <c r="F914" s="30">
        <v>900</v>
      </c>
      <c r="G914" s="30">
        <v>0</v>
      </c>
      <c r="H914" s="30">
        <v>14900</v>
      </c>
      <c r="I914" s="30">
        <v>15800</v>
      </c>
      <c r="J914" s="30" t="s">
        <v>80</v>
      </c>
      <c r="K914" s="32" t="s">
        <v>85</v>
      </c>
    </row>
    <row r="915" spans="1:11" ht="14.5" x14ac:dyDescent="0.35">
      <c r="A915" s="33">
        <v>46011</v>
      </c>
      <c r="B915" s="30" t="s">
        <v>14</v>
      </c>
      <c r="C915" s="31" t="str">
        <f>VLOOKUP(B915,'Kode Data'!$B$3:$C$23,2,0)</f>
        <v>Gandum Durum</v>
      </c>
      <c r="D915" s="30" t="str">
        <f>VLOOKUP(LEFT(B915,2),'Kode Data'!$E$3:$G$6,3,0)</f>
        <v>Bahan Baku</v>
      </c>
      <c r="E915" s="31" t="s">
        <v>79</v>
      </c>
      <c r="F915" s="30">
        <v>0</v>
      </c>
      <c r="G915" s="30">
        <v>250</v>
      </c>
      <c r="H915" s="30">
        <v>1840</v>
      </c>
      <c r="I915" s="30">
        <v>1590</v>
      </c>
      <c r="J915" s="30" t="s">
        <v>87</v>
      </c>
      <c r="K915" s="32" t="s">
        <v>104</v>
      </c>
    </row>
    <row r="916" spans="1:11" ht="14.5" x14ac:dyDescent="0.35">
      <c r="A916" s="29">
        <v>46012</v>
      </c>
      <c r="B916" s="30" t="s">
        <v>38</v>
      </c>
      <c r="C916" s="31" t="str">
        <f>VLOOKUP(B916,'Kode Data'!$B$3:$C$23,2,0)</f>
        <v>Improver Tepung</v>
      </c>
      <c r="D916" s="30" t="str">
        <f>VLOOKUP(LEFT(B916,2),'Kode Data'!$E$3:$G$6,3,0)</f>
        <v>Bahan Tambahan</v>
      </c>
      <c r="E916" s="31" t="s">
        <v>107</v>
      </c>
      <c r="F916" s="30">
        <v>150</v>
      </c>
      <c r="G916" s="30">
        <v>0</v>
      </c>
      <c r="H916" s="30">
        <v>420</v>
      </c>
      <c r="I916" s="30">
        <v>570</v>
      </c>
      <c r="J916" s="30" t="s">
        <v>87</v>
      </c>
      <c r="K916" s="32" t="s">
        <v>116</v>
      </c>
    </row>
    <row r="917" spans="1:11" ht="14.5" x14ac:dyDescent="0.35">
      <c r="A917" s="29">
        <v>46012</v>
      </c>
      <c r="B917" s="30" t="s">
        <v>42</v>
      </c>
      <c r="C917" s="31" t="str">
        <f>VLOOKUP(B917,'Kode Data'!$B$3:$C$23,2,0)</f>
        <v>Calcium Propionate</v>
      </c>
      <c r="D917" s="30" t="str">
        <f>VLOOKUP(LEFT(B917,2),'Kode Data'!$E$3:$G$6,3,0)</f>
        <v>Bahan Tambahan</v>
      </c>
      <c r="E917" s="31" t="s">
        <v>95</v>
      </c>
      <c r="F917" s="30">
        <v>55</v>
      </c>
      <c r="G917" s="30">
        <v>0</v>
      </c>
      <c r="H917" s="30">
        <v>710</v>
      </c>
      <c r="I917" s="30">
        <v>765</v>
      </c>
      <c r="J917" s="30" t="s">
        <v>87</v>
      </c>
      <c r="K917" s="32" t="s">
        <v>116</v>
      </c>
    </row>
    <row r="918" spans="1:11" ht="14.5" x14ac:dyDescent="0.35">
      <c r="A918" s="29">
        <v>46013</v>
      </c>
      <c r="B918" s="30" t="s">
        <v>46</v>
      </c>
      <c r="C918" s="31" t="str">
        <f>VLOOKUP(B918,'Kode Data'!$B$3:$C$23,2,0)</f>
        <v>Karung Kemasan 25 Kg</v>
      </c>
      <c r="D918" s="30" t="str">
        <f>VLOOKUP(LEFT(B918,2),'Kode Data'!$E$3:$G$6,3,0)</f>
        <v>Kemasan</v>
      </c>
      <c r="E918" s="31" t="s">
        <v>84</v>
      </c>
      <c r="F918" s="30">
        <v>0</v>
      </c>
      <c r="G918" s="30">
        <v>250</v>
      </c>
      <c r="H918" s="30">
        <v>5370</v>
      </c>
      <c r="I918" s="30">
        <v>5120</v>
      </c>
      <c r="J918" s="30" t="s">
        <v>80</v>
      </c>
      <c r="K918" s="32" t="s">
        <v>93</v>
      </c>
    </row>
    <row r="919" spans="1:11" ht="14.5" x14ac:dyDescent="0.35">
      <c r="A919" s="29">
        <v>46013</v>
      </c>
      <c r="B919" s="30" t="s">
        <v>50</v>
      </c>
      <c r="C919" s="31" t="str">
        <f>VLOOKUP(B919,'Kode Data'!$B$3:$C$23,2,0)</f>
        <v>Plastik Kemasan 1 Kg</v>
      </c>
      <c r="D919" s="30" t="str">
        <f>VLOOKUP(LEFT(B919,2),'Kode Data'!$E$3:$G$6,3,0)</f>
        <v>Kemasan</v>
      </c>
      <c r="E919" s="31" t="s">
        <v>99</v>
      </c>
      <c r="F919" s="30">
        <v>0</v>
      </c>
      <c r="G919" s="30">
        <v>400</v>
      </c>
      <c r="H919" s="30">
        <v>15800</v>
      </c>
      <c r="I919" s="30">
        <v>15400</v>
      </c>
      <c r="J919" s="30" t="s">
        <v>80</v>
      </c>
      <c r="K919" s="32" t="s">
        <v>93</v>
      </c>
    </row>
    <row r="920" spans="1:11" ht="14.5" x14ac:dyDescent="0.35">
      <c r="A920" s="33">
        <v>46013</v>
      </c>
      <c r="B920" s="30" t="s">
        <v>4</v>
      </c>
      <c r="C920" s="31" t="str">
        <f>VLOOKUP(B920,'Kode Data'!$B$3:$C$23,2,0)</f>
        <v>Gandum Hard Wheat</v>
      </c>
      <c r="D920" s="30" t="str">
        <f>VLOOKUP(LEFT(B920,2),'Kode Data'!$E$3:$G$6,3,0)</f>
        <v>Bahan Baku</v>
      </c>
      <c r="E920" s="31" t="s">
        <v>79</v>
      </c>
      <c r="F920" s="30">
        <v>600</v>
      </c>
      <c r="G920" s="30">
        <v>0</v>
      </c>
      <c r="H920" s="30">
        <v>3600</v>
      </c>
      <c r="I920" s="30">
        <v>4200</v>
      </c>
      <c r="J920" s="30" t="s">
        <v>87</v>
      </c>
      <c r="K920" s="32" t="s">
        <v>110</v>
      </c>
    </row>
    <row r="921" spans="1:11" ht="14.5" x14ac:dyDescent="0.35">
      <c r="A921" s="29">
        <v>46015</v>
      </c>
      <c r="B921" s="30" t="s">
        <v>46</v>
      </c>
      <c r="C921" s="31" t="str">
        <f>VLOOKUP(B921,'Kode Data'!$B$3:$C$23,2,0)</f>
        <v>Karung Kemasan 25 Kg</v>
      </c>
      <c r="D921" s="30" t="str">
        <f>VLOOKUP(LEFT(B921,2),'Kode Data'!$E$3:$G$6,3,0)</f>
        <v>Kemasan</v>
      </c>
      <c r="E921" s="31" t="s">
        <v>84</v>
      </c>
      <c r="F921" s="30">
        <v>500</v>
      </c>
      <c r="G921" s="30">
        <v>0</v>
      </c>
      <c r="H921" s="30">
        <v>5120</v>
      </c>
      <c r="I921" s="30">
        <v>5620</v>
      </c>
      <c r="J921" s="30" t="s">
        <v>80</v>
      </c>
      <c r="K921" s="32" t="s">
        <v>85</v>
      </c>
    </row>
    <row r="922" spans="1:11" ht="14.5" x14ac:dyDescent="0.35">
      <c r="A922" s="29">
        <v>46015</v>
      </c>
      <c r="B922" s="30" t="s">
        <v>50</v>
      </c>
      <c r="C922" s="31" t="str">
        <f>VLOOKUP(B922,'Kode Data'!$B$3:$C$23,2,0)</f>
        <v>Plastik Kemasan 1 Kg</v>
      </c>
      <c r="D922" s="30" t="str">
        <f>VLOOKUP(LEFT(B922,2),'Kode Data'!$E$3:$G$6,3,0)</f>
        <v>Kemasan</v>
      </c>
      <c r="E922" s="31" t="s">
        <v>86</v>
      </c>
      <c r="F922" s="30">
        <v>1000</v>
      </c>
      <c r="G922" s="30">
        <v>0</v>
      </c>
      <c r="H922" s="30">
        <v>15400</v>
      </c>
      <c r="I922" s="30">
        <v>16400</v>
      </c>
      <c r="J922" s="30" t="s">
        <v>80</v>
      </c>
      <c r="K922" s="32" t="s">
        <v>85</v>
      </c>
    </row>
    <row r="923" spans="1:11" ht="14.5" x14ac:dyDescent="0.35">
      <c r="A923" s="33">
        <v>46015</v>
      </c>
      <c r="B923" s="30" t="s">
        <v>14</v>
      </c>
      <c r="C923" s="31" t="str">
        <f>VLOOKUP(B923,'Kode Data'!$B$3:$C$23,2,0)</f>
        <v>Gandum Durum</v>
      </c>
      <c r="D923" s="30" t="str">
        <f>VLOOKUP(LEFT(B923,2),'Kode Data'!$E$3:$G$6,3,0)</f>
        <v>Bahan Baku</v>
      </c>
      <c r="E923" s="31" t="s">
        <v>98</v>
      </c>
      <c r="F923" s="30">
        <v>340</v>
      </c>
      <c r="G923" s="30">
        <v>0</v>
      </c>
      <c r="H923" s="30">
        <v>1590</v>
      </c>
      <c r="I923" s="30">
        <v>1930</v>
      </c>
      <c r="J923" s="30" t="s">
        <v>87</v>
      </c>
      <c r="K923" s="32" t="s">
        <v>88</v>
      </c>
    </row>
    <row r="924" spans="1:11" ht="14.5" x14ac:dyDescent="0.35">
      <c r="A924" s="33">
        <v>46015</v>
      </c>
      <c r="B924" s="30" t="s">
        <v>24</v>
      </c>
      <c r="C924" s="31" t="str">
        <f>VLOOKUP(B924,'Kode Data'!$B$3:$C$23,2,0)</f>
        <v>Germ Gandum</v>
      </c>
      <c r="D924" s="30" t="str">
        <f>VLOOKUP(LEFT(B924,2),'Kode Data'!$E$3:$G$6,3,0)</f>
        <v>Bahan Baku</v>
      </c>
      <c r="E924" s="31" t="s">
        <v>98</v>
      </c>
      <c r="F924" s="30">
        <v>0</v>
      </c>
      <c r="G924" s="30">
        <v>210</v>
      </c>
      <c r="H924" s="30">
        <v>2620</v>
      </c>
      <c r="I924" s="30">
        <v>2410</v>
      </c>
      <c r="J924" s="30" t="s">
        <v>87</v>
      </c>
      <c r="K924" s="32" t="s">
        <v>104</v>
      </c>
    </row>
    <row r="925" spans="1:11" ht="14.5" x14ac:dyDescent="0.35">
      <c r="A925" s="29">
        <v>46017</v>
      </c>
      <c r="B925" s="30" t="s">
        <v>46</v>
      </c>
      <c r="C925" s="31" t="str">
        <f>VLOOKUP(B925,'Kode Data'!$B$3:$C$23,2,0)</f>
        <v>Karung Kemasan 25 Kg</v>
      </c>
      <c r="D925" s="30" t="str">
        <f>VLOOKUP(LEFT(B925,2),'Kode Data'!$E$3:$G$6,3,0)</f>
        <v>Kemasan</v>
      </c>
      <c r="E925" s="31" t="s">
        <v>86</v>
      </c>
      <c r="F925" s="30">
        <v>0</v>
      </c>
      <c r="G925" s="30">
        <v>300</v>
      </c>
      <c r="H925" s="30">
        <v>5620</v>
      </c>
      <c r="I925" s="30">
        <v>5320</v>
      </c>
      <c r="J925" s="30" t="s">
        <v>80</v>
      </c>
      <c r="K925" s="32" t="s">
        <v>93</v>
      </c>
    </row>
    <row r="926" spans="1:11" ht="14.5" x14ac:dyDescent="0.35">
      <c r="A926" s="29">
        <v>46017</v>
      </c>
      <c r="B926" s="30" t="s">
        <v>50</v>
      </c>
      <c r="C926" s="31" t="str">
        <f>VLOOKUP(B926,'Kode Data'!$B$3:$C$23,2,0)</f>
        <v>Plastik Kemasan 1 Kg</v>
      </c>
      <c r="D926" s="30" t="str">
        <f>VLOOKUP(LEFT(B926,2),'Kode Data'!$E$3:$G$6,3,0)</f>
        <v>Kemasan</v>
      </c>
      <c r="E926" s="31" t="s">
        <v>92</v>
      </c>
      <c r="F926" s="30">
        <v>0</v>
      </c>
      <c r="G926" s="30">
        <v>500</v>
      </c>
      <c r="H926" s="30">
        <v>16400</v>
      </c>
      <c r="I926" s="30">
        <v>15900</v>
      </c>
      <c r="J926" s="30" t="s">
        <v>80</v>
      </c>
      <c r="K926" s="32" t="s">
        <v>93</v>
      </c>
    </row>
    <row r="927" spans="1:11" ht="14.5" x14ac:dyDescent="0.35">
      <c r="A927" s="33">
        <v>46017</v>
      </c>
      <c r="B927" s="30" t="s">
        <v>58</v>
      </c>
      <c r="C927" s="31" t="str">
        <f>VLOOKUP(B927,'Kode Data'!$B$3:$C$23,2,0)</f>
        <v>Pallet Kayu</v>
      </c>
      <c r="D927" s="30" t="str">
        <f>VLOOKUP(LEFT(B927,2),'Kode Data'!$E$3:$G$6,3,0)</f>
        <v>Kemasan</v>
      </c>
      <c r="E927" s="31" t="s">
        <v>94</v>
      </c>
      <c r="F927" s="30">
        <v>0</v>
      </c>
      <c r="G927" s="30">
        <v>30</v>
      </c>
      <c r="H927" s="30">
        <v>380</v>
      </c>
      <c r="I927" s="30">
        <v>350</v>
      </c>
      <c r="J927" s="30" t="s">
        <v>80</v>
      </c>
      <c r="K927" s="32" t="s">
        <v>93</v>
      </c>
    </row>
    <row r="928" spans="1:11" ht="14.5" x14ac:dyDescent="0.35">
      <c r="A928" s="33">
        <v>46017</v>
      </c>
      <c r="B928" s="30" t="s">
        <v>14</v>
      </c>
      <c r="C928" s="31" t="str">
        <f>VLOOKUP(B928,'Kode Data'!$B$3:$C$23,2,0)</f>
        <v>Gandum Durum</v>
      </c>
      <c r="D928" s="30" t="str">
        <f>VLOOKUP(LEFT(B928,2),'Kode Data'!$E$3:$G$6,3,0)</f>
        <v>Bahan Baku</v>
      </c>
      <c r="E928" s="31" t="s">
        <v>89</v>
      </c>
      <c r="F928" s="30">
        <v>0</v>
      </c>
      <c r="G928" s="30">
        <v>310</v>
      </c>
      <c r="H928" s="30">
        <v>1930</v>
      </c>
      <c r="I928" s="30">
        <v>1620</v>
      </c>
      <c r="J928" s="30" t="s">
        <v>87</v>
      </c>
      <c r="K928" s="32" t="s">
        <v>104</v>
      </c>
    </row>
    <row r="929" spans="1:11" ht="14.5" x14ac:dyDescent="0.35">
      <c r="A929" s="29">
        <v>46018</v>
      </c>
      <c r="B929" s="30" t="s">
        <v>60</v>
      </c>
      <c r="C929" s="31" t="str">
        <f>VLOOKUP(B929,'Kode Data'!$B$3:$C$23,2,0)</f>
        <v>Tepung Terigu Protein Tinggi</v>
      </c>
      <c r="D929" s="30" t="str">
        <f>VLOOKUP(LEFT(B929,2),'Kode Data'!$E$3:$G$6,3,0)</f>
        <v>Produk</v>
      </c>
      <c r="E929" s="31" t="s">
        <v>113</v>
      </c>
      <c r="F929" s="30">
        <v>0</v>
      </c>
      <c r="G929" s="30">
        <v>600</v>
      </c>
      <c r="H929" s="30">
        <v>2700</v>
      </c>
      <c r="I929" s="30">
        <v>2100</v>
      </c>
      <c r="J929" s="30" t="s">
        <v>80</v>
      </c>
      <c r="K929" s="32" t="s">
        <v>90</v>
      </c>
    </row>
    <row r="930" spans="1:11" ht="14.5" x14ac:dyDescent="0.35">
      <c r="A930" s="33">
        <v>46018</v>
      </c>
      <c r="B930" s="30" t="s">
        <v>4</v>
      </c>
      <c r="C930" s="31" t="str">
        <f>VLOOKUP(B930,'Kode Data'!$B$3:$C$23,2,0)</f>
        <v>Gandum Hard Wheat</v>
      </c>
      <c r="D930" s="30" t="str">
        <f>VLOOKUP(LEFT(B930,2),'Kode Data'!$E$3:$G$6,3,0)</f>
        <v>Bahan Baku</v>
      </c>
      <c r="E930" s="31" t="s">
        <v>98</v>
      </c>
      <c r="F930" s="30">
        <v>0</v>
      </c>
      <c r="G930" s="30">
        <v>500</v>
      </c>
      <c r="H930" s="30">
        <v>4200</v>
      </c>
      <c r="I930" s="30">
        <v>3700</v>
      </c>
      <c r="J930" s="30" t="s">
        <v>87</v>
      </c>
      <c r="K930" s="32" t="s">
        <v>104</v>
      </c>
    </row>
    <row r="931" spans="1:11" ht="14.5" x14ac:dyDescent="0.35">
      <c r="A931" s="33">
        <v>46018</v>
      </c>
      <c r="B931" s="30" t="s">
        <v>19</v>
      </c>
      <c r="C931" s="31" t="str">
        <f>VLOOKUP(B931,'Kode Data'!$B$3:$C$23,2,0)</f>
        <v>Bran Gandum</v>
      </c>
      <c r="D931" s="30" t="str">
        <f>VLOOKUP(LEFT(B931,2),'Kode Data'!$E$3:$G$6,3,0)</f>
        <v>Bahan Baku</v>
      </c>
      <c r="E931" s="31" t="s">
        <v>118</v>
      </c>
      <c r="F931" s="30">
        <v>0</v>
      </c>
      <c r="G931" s="30">
        <v>250</v>
      </c>
      <c r="H931" s="30">
        <v>3150</v>
      </c>
      <c r="I931" s="30">
        <v>2900</v>
      </c>
      <c r="J931" s="30" t="s">
        <v>87</v>
      </c>
      <c r="K931" s="32" t="s">
        <v>104</v>
      </c>
    </row>
    <row r="932" spans="1:11" ht="14.5" x14ac:dyDescent="0.35">
      <c r="A932" s="29">
        <v>46019</v>
      </c>
      <c r="B932" s="30" t="s">
        <v>26</v>
      </c>
      <c r="C932" s="31" t="str">
        <f>VLOOKUP(B932,'Kode Data'!$B$3:$C$23,2,0)</f>
        <v>Enzim Baking</v>
      </c>
      <c r="D932" s="30" t="str">
        <f>VLOOKUP(LEFT(B932,2),'Kode Data'!$E$3:$G$6,3,0)</f>
        <v>Bahan Tambahan</v>
      </c>
      <c r="E932" s="31" t="s">
        <v>115</v>
      </c>
      <c r="F932" s="30">
        <v>0</v>
      </c>
      <c r="G932" s="30">
        <v>120</v>
      </c>
      <c r="H932" s="30">
        <v>400</v>
      </c>
      <c r="I932" s="30">
        <v>280</v>
      </c>
      <c r="J932" s="30" t="s">
        <v>87</v>
      </c>
      <c r="K932" s="32" t="s">
        <v>104</v>
      </c>
    </row>
    <row r="933" spans="1:11" ht="14.5" x14ac:dyDescent="0.35">
      <c r="A933" s="29">
        <v>46019</v>
      </c>
      <c r="B933" s="30" t="s">
        <v>30</v>
      </c>
      <c r="C933" s="31" t="str">
        <f>VLOOKUP(B933,'Kode Data'!$B$3:$C$23,2,0)</f>
        <v>Vitamin Fortifikasi</v>
      </c>
      <c r="D933" s="30" t="str">
        <f>VLOOKUP(LEFT(B933,2),'Kode Data'!$E$3:$G$6,3,0)</f>
        <v>Bahan Tambahan</v>
      </c>
      <c r="E933" s="31" t="s">
        <v>119</v>
      </c>
      <c r="F933" s="30">
        <v>0</v>
      </c>
      <c r="G933" s="30">
        <v>120</v>
      </c>
      <c r="H933" s="30">
        <v>1060</v>
      </c>
      <c r="I933" s="30">
        <v>940</v>
      </c>
      <c r="J933" s="30" t="s">
        <v>87</v>
      </c>
      <c r="K933" s="32" t="s">
        <v>104</v>
      </c>
    </row>
    <row r="934" spans="1:11" ht="14.5" x14ac:dyDescent="0.35">
      <c r="A934" s="29">
        <v>46019</v>
      </c>
      <c r="B934" s="30" t="s">
        <v>34</v>
      </c>
      <c r="C934" s="31" t="str">
        <f>VLOOKUP(B934,'Kode Data'!$B$3:$C$23,2,0)</f>
        <v>Tepung Premix</v>
      </c>
      <c r="D934" s="30" t="str">
        <f>VLOOKUP(LEFT(B934,2),'Kode Data'!$E$3:$G$6,3,0)</f>
        <v>Bahan Tambahan</v>
      </c>
      <c r="E934" s="31" t="s">
        <v>89</v>
      </c>
      <c r="F934" s="30">
        <v>0</v>
      </c>
      <c r="G934" s="30">
        <v>170</v>
      </c>
      <c r="H934" s="30">
        <v>1050</v>
      </c>
      <c r="I934" s="30">
        <v>880</v>
      </c>
      <c r="J934" s="30" t="s">
        <v>87</v>
      </c>
      <c r="K934" s="32" t="s">
        <v>104</v>
      </c>
    </row>
    <row r="935" spans="1:11" ht="14.5" x14ac:dyDescent="0.35">
      <c r="A935" s="29">
        <v>46019</v>
      </c>
      <c r="B935" s="30" t="s">
        <v>62</v>
      </c>
      <c r="C935" s="31" t="str">
        <f>VLOOKUP(B935,'Kode Data'!$B$3:$C$23,2,0)</f>
        <v>Tepung Terigu Serbaguna</v>
      </c>
      <c r="D935" s="30" t="str">
        <f>VLOOKUP(LEFT(B935,2),'Kode Data'!$E$3:$G$6,3,0)</f>
        <v>Produk</v>
      </c>
      <c r="E935" s="31" t="s">
        <v>89</v>
      </c>
      <c r="F935" s="30">
        <v>0</v>
      </c>
      <c r="G935" s="30">
        <v>900</v>
      </c>
      <c r="H935" s="30">
        <v>4000</v>
      </c>
      <c r="I935" s="30">
        <v>3100</v>
      </c>
      <c r="J935" s="30" t="s">
        <v>80</v>
      </c>
      <c r="K935" s="32" t="s">
        <v>90</v>
      </c>
    </row>
    <row r="936" spans="1:11" ht="14.5" x14ac:dyDescent="0.35">
      <c r="A936" s="29">
        <v>46019</v>
      </c>
      <c r="B936" s="30" t="s">
        <v>46</v>
      </c>
      <c r="C936" s="31" t="str">
        <f>VLOOKUP(B936,'Kode Data'!$B$3:$C$23,2,0)</f>
        <v>Karung Kemasan 25 Kg</v>
      </c>
      <c r="D936" s="30" t="str">
        <f>VLOOKUP(LEFT(B936,2),'Kode Data'!$E$3:$G$6,3,0)</f>
        <v>Kemasan</v>
      </c>
      <c r="E936" s="31" t="s">
        <v>97</v>
      </c>
      <c r="F936" s="30">
        <v>450</v>
      </c>
      <c r="G936" s="30">
        <v>0</v>
      </c>
      <c r="H936" s="30">
        <v>5320</v>
      </c>
      <c r="I936" s="30">
        <v>5770</v>
      </c>
      <c r="J936" s="30" t="s">
        <v>80</v>
      </c>
      <c r="K936" s="32" t="s">
        <v>85</v>
      </c>
    </row>
    <row r="937" spans="1:11" ht="14.5" x14ac:dyDescent="0.35">
      <c r="A937" s="29">
        <v>46019</v>
      </c>
      <c r="B937" s="30" t="s">
        <v>50</v>
      </c>
      <c r="C937" s="31" t="str">
        <f>VLOOKUP(B937,'Kode Data'!$B$3:$C$23,2,0)</f>
        <v>Plastik Kemasan 1 Kg</v>
      </c>
      <c r="D937" s="30" t="str">
        <f>VLOOKUP(LEFT(B937,2),'Kode Data'!$E$3:$G$6,3,0)</f>
        <v>Kemasan</v>
      </c>
      <c r="E937" s="31" t="s">
        <v>99</v>
      </c>
      <c r="F937" s="30">
        <v>1100</v>
      </c>
      <c r="G937" s="30">
        <v>0</v>
      </c>
      <c r="H937" s="30">
        <v>15900</v>
      </c>
      <c r="I937" s="30">
        <v>17000</v>
      </c>
      <c r="J937" s="30" t="s">
        <v>80</v>
      </c>
      <c r="K937" s="32" t="s">
        <v>85</v>
      </c>
    </row>
    <row r="938" spans="1:11" ht="14.5" x14ac:dyDescent="0.35">
      <c r="A938" s="33">
        <v>46019</v>
      </c>
      <c r="B938" s="30" t="s">
        <v>54</v>
      </c>
      <c r="C938" s="31" t="str">
        <f>VLOOKUP(B938,'Kode Data'!$B$3:$C$23,2,0)</f>
        <v>Karton Box</v>
      </c>
      <c r="D938" s="30" t="str">
        <f>VLOOKUP(LEFT(B938,2),'Kode Data'!$E$3:$G$6,3,0)</f>
        <v>Kemasan</v>
      </c>
      <c r="E938" s="31" t="s">
        <v>114</v>
      </c>
      <c r="F938" s="30">
        <v>0</v>
      </c>
      <c r="G938" s="30">
        <v>600</v>
      </c>
      <c r="H938" s="30">
        <v>15050</v>
      </c>
      <c r="I938" s="30">
        <v>14450</v>
      </c>
      <c r="J938" s="30" t="s">
        <v>80</v>
      </c>
      <c r="K938" s="32" t="s">
        <v>93</v>
      </c>
    </row>
    <row r="939" spans="1:11" ht="14.5" x14ac:dyDescent="0.35">
      <c r="A939" s="33">
        <v>46019</v>
      </c>
      <c r="B939" s="30" t="s">
        <v>14</v>
      </c>
      <c r="C939" s="31" t="str">
        <f>VLOOKUP(B939,'Kode Data'!$B$3:$C$23,2,0)</f>
        <v>Gandum Durum</v>
      </c>
      <c r="D939" s="30" t="str">
        <f>VLOOKUP(LEFT(B939,2),'Kode Data'!$E$3:$G$6,3,0)</f>
        <v>Bahan Baku</v>
      </c>
      <c r="E939" s="31" t="s">
        <v>79</v>
      </c>
      <c r="F939" s="30">
        <v>280</v>
      </c>
      <c r="G939" s="30">
        <v>0</v>
      </c>
      <c r="H939" s="30">
        <v>1620</v>
      </c>
      <c r="I939" s="30">
        <v>1900</v>
      </c>
      <c r="J939" s="30" t="s">
        <v>87</v>
      </c>
      <c r="K939" s="32" t="s">
        <v>110</v>
      </c>
    </row>
    <row r="940" spans="1:11" ht="14.5" x14ac:dyDescent="0.35">
      <c r="A940" s="29">
        <v>46020</v>
      </c>
      <c r="B940" s="30" t="s">
        <v>38</v>
      </c>
      <c r="C940" s="31" t="str">
        <f>VLOOKUP(B940,'Kode Data'!$B$3:$C$23,2,0)</f>
        <v>Improver Tepung</v>
      </c>
      <c r="D940" s="30" t="str">
        <f>VLOOKUP(LEFT(B940,2),'Kode Data'!$E$3:$G$6,3,0)</f>
        <v>Bahan Tambahan</v>
      </c>
      <c r="E940" s="31" t="s">
        <v>117</v>
      </c>
      <c r="F940" s="30">
        <v>0</v>
      </c>
      <c r="G940" s="30">
        <v>160</v>
      </c>
      <c r="H940" s="30">
        <v>570</v>
      </c>
      <c r="I940" s="30">
        <v>410</v>
      </c>
      <c r="J940" s="30" t="s">
        <v>87</v>
      </c>
      <c r="K940" s="32" t="s">
        <v>104</v>
      </c>
    </row>
    <row r="941" spans="1:11" ht="14.5" x14ac:dyDescent="0.35">
      <c r="A941" s="29">
        <v>46020</v>
      </c>
      <c r="B941" s="30" t="s">
        <v>42</v>
      </c>
      <c r="C941" s="31" t="str">
        <f>VLOOKUP(B941,'Kode Data'!$B$3:$C$23,2,0)</f>
        <v>Calcium Propionate</v>
      </c>
      <c r="D941" s="30" t="str">
        <f>VLOOKUP(LEFT(B941,2),'Kode Data'!$E$3:$G$6,3,0)</f>
        <v>Bahan Tambahan</v>
      </c>
      <c r="E941" s="31" t="s">
        <v>111</v>
      </c>
      <c r="F941" s="30">
        <v>0</v>
      </c>
      <c r="G941" s="30">
        <v>35</v>
      </c>
      <c r="H941" s="30">
        <v>765</v>
      </c>
      <c r="I941" s="30">
        <v>730</v>
      </c>
      <c r="J941" s="30" t="s">
        <v>87</v>
      </c>
      <c r="K941" s="32" t="s">
        <v>104</v>
      </c>
    </row>
    <row r="942" spans="1:11" ht="14.5" x14ac:dyDescent="0.35">
      <c r="A942" s="33">
        <v>46020</v>
      </c>
      <c r="B942" s="30" t="s">
        <v>56</v>
      </c>
      <c r="C942" s="31" t="str">
        <f>VLOOKUP(B942,'Kode Data'!$B$3:$C$23,2,0)</f>
        <v>Label Produk</v>
      </c>
      <c r="D942" s="30" t="str">
        <f>VLOOKUP(LEFT(B942,2),'Kode Data'!$E$3:$G$6,3,0)</f>
        <v>Kemasan</v>
      </c>
      <c r="E942" s="31" t="s">
        <v>120</v>
      </c>
      <c r="F942" s="30">
        <v>0</v>
      </c>
      <c r="G942" s="30">
        <v>400</v>
      </c>
      <c r="H942" s="30">
        <v>2600</v>
      </c>
      <c r="I942" s="30">
        <v>2200</v>
      </c>
      <c r="J942" s="30" t="s">
        <v>80</v>
      </c>
      <c r="K942" s="32" t="s">
        <v>93</v>
      </c>
    </row>
    <row r="943" spans="1:11" ht="14.5" x14ac:dyDescent="0.35">
      <c r="A943" s="29">
        <v>46021</v>
      </c>
      <c r="B943" s="30" t="s">
        <v>68</v>
      </c>
      <c r="C943" s="31" t="str">
        <f>VLOOKUP(B943,'Kode Data'!$B$3:$C$23,2,0)</f>
        <v>Tepung Terigu Khusus Kue</v>
      </c>
      <c r="D943" s="30" t="str">
        <f>VLOOKUP(LEFT(B943,2),'Kode Data'!$E$3:$G$6,3,0)</f>
        <v>Produk</v>
      </c>
      <c r="E943" s="31" t="s">
        <v>89</v>
      </c>
      <c r="F943" s="30">
        <v>550</v>
      </c>
      <c r="G943" s="30">
        <v>0</v>
      </c>
      <c r="H943" s="30">
        <v>3250</v>
      </c>
      <c r="I943" s="30">
        <v>3800</v>
      </c>
      <c r="J943" s="30" t="s">
        <v>80</v>
      </c>
      <c r="K943" s="32" t="s">
        <v>81</v>
      </c>
    </row>
    <row r="944" spans="1:11" ht="14.5" x14ac:dyDescent="0.35">
      <c r="A944" s="29">
        <v>46021</v>
      </c>
      <c r="B944" s="30" t="s">
        <v>46</v>
      </c>
      <c r="C944" s="31" t="str">
        <f>VLOOKUP(B944,'Kode Data'!$B$3:$C$23,2,0)</f>
        <v>Karung Kemasan 25 Kg</v>
      </c>
      <c r="D944" s="30" t="str">
        <f>VLOOKUP(LEFT(B944,2),'Kode Data'!$E$3:$G$6,3,0)</f>
        <v>Kemasan</v>
      </c>
      <c r="E944" s="31" t="s">
        <v>84</v>
      </c>
      <c r="F944" s="30">
        <v>0</v>
      </c>
      <c r="G944" s="30">
        <v>250</v>
      </c>
      <c r="H944" s="30">
        <v>5770</v>
      </c>
      <c r="I944" s="30">
        <v>5520</v>
      </c>
      <c r="J944" s="30" t="s">
        <v>80</v>
      </c>
      <c r="K944" s="32" t="s">
        <v>93</v>
      </c>
    </row>
    <row r="945" spans="1:11" ht="14.5" x14ac:dyDescent="0.35">
      <c r="A945" s="29">
        <v>46021</v>
      </c>
      <c r="B945" s="30" t="s">
        <v>50</v>
      </c>
      <c r="C945" s="31" t="str">
        <f>VLOOKUP(B945,'Kode Data'!$B$3:$C$23,2,0)</f>
        <v>Plastik Kemasan 1 Kg</v>
      </c>
      <c r="D945" s="30" t="str">
        <f>VLOOKUP(LEFT(B945,2),'Kode Data'!$E$3:$G$6,3,0)</f>
        <v>Kemasan</v>
      </c>
      <c r="E945" s="31" t="s">
        <v>86</v>
      </c>
      <c r="F945" s="30">
        <v>0</v>
      </c>
      <c r="G945" s="30">
        <v>600</v>
      </c>
      <c r="H945" s="30">
        <v>17000</v>
      </c>
      <c r="I945" s="30">
        <v>16400</v>
      </c>
      <c r="J945" s="30" t="s">
        <v>80</v>
      </c>
      <c r="K945" s="32" t="s">
        <v>93</v>
      </c>
    </row>
    <row r="946" spans="1:11" ht="14.5" x14ac:dyDescent="0.35">
      <c r="A946" s="29">
        <v>46021</v>
      </c>
      <c r="B946" s="30" t="s">
        <v>50</v>
      </c>
      <c r="C946" s="31" t="str">
        <f>VLOOKUP(B946,'Kode Data'!$B$3:$C$23,2,0)</f>
        <v>Plastik Kemasan 1 Kg</v>
      </c>
      <c r="D946" s="30" t="str">
        <f>VLOOKUP(LEFT(B946,2),'Kode Data'!$E$3:$G$6,3,0)</f>
        <v>Kemasan</v>
      </c>
      <c r="E946" s="31" t="s">
        <v>92</v>
      </c>
      <c r="F946" s="30">
        <v>1200</v>
      </c>
      <c r="G946" s="30">
        <v>0</v>
      </c>
      <c r="H946" s="30">
        <v>16400</v>
      </c>
      <c r="I946" s="30">
        <v>17600</v>
      </c>
      <c r="J946" s="30" t="s">
        <v>80</v>
      </c>
      <c r="K946" s="32" t="s">
        <v>85</v>
      </c>
    </row>
    <row r="947" spans="1:11" ht="14.5" x14ac:dyDescent="0.35">
      <c r="A947" s="29">
        <v>46021</v>
      </c>
      <c r="B947" s="30" t="s">
        <v>50</v>
      </c>
      <c r="C947" s="31" t="str">
        <f>VLOOKUP(B947,'Kode Data'!$B$3:$C$23,2,0)</f>
        <v>Plastik Kemasan 1 Kg</v>
      </c>
      <c r="D947" s="30" t="str">
        <f>VLOOKUP(LEFT(B947,2),'Kode Data'!$E$3:$G$6,3,0)</f>
        <v>Kemasan</v>
      </c>
      <c r="E947" s="31" t="s">
        <v>99</v>
      </c>
      <c r="F947" s="30">
        <v>0</v>
      </c>
      <c r="G947" s="30">
        <v>500</v>
      </c>
      <c r="H947" s="30">
        <v>17600</v>
      </c>
      <c r="I947" s="30">
        <v>17100</v>
      </c>
      <c r="J947" s="30" t="s">
        <v>80</v>
      </c>
      <c r="K947" s="32" t="s">
        <v>93</v>
      </c>
    </row>
    <row r="948" spans="1:11" ht="14.5" x14ac:dyDescent="0.35">
      <c r="A948" s="33">
        <v>46021</v>
      </c>
      <c r="B948" s="30" t="s">
        <v>9</v>
      </c>
      <c r="C948" s="31" t="str">
        <f>VLOOKUP(B948,'Kode Data'!$B$3:$C$23,2,0)</f>
        <v>Gandum Soft Wheat</v>
      </c>
      <c r="D948" s="30" t="str">
        <f>VLOOKUP(LEFT(B948,2),'Kode Data'!$E$3:$G$6,3,0)</f>
        <v>Bahan Baku</v>
      </c>
      <c r="E948" s="31" t="s">
        <v>98</v>
      </c>
      <c r="F948" s="30">
        <v>0</v>
      </c>
      <c r="G948" s="30">
        <v>300</v>
      </c>
      <c r="H948" s="30">
        <v>3100</v>
      </c>
      <c r="I948" s="30">
        <v>2800</v>
      </c>
      <c r="J948" s="30" t="s">
        <v>87</v>
      </c>
      <c r="K948" s="32" t="s">
        <v>104</v>
      </c>
    </row>
    <row r="949" spans="1:11" ht="14.5" x14ac:dyDescent="0.35">
      <c r="A949" s="33">
        <v>46022</v>
      </c>
      <c r="B949" s="30" t="s">
        <v>14</v>
      </c>
      <c r="C949" s="31" t="str">
        <f>VLOOKUP(B949,'Kode Data'!$B$3:$C$23,2,0)</f>
        <v>Gandum Durum</v>
      </c>
      <c r="D949" s="30" t="str">
        <f>VLOOKUP(LEFT(B949,2),'Kode Data'!$E$3:$G$6,3,0)</f>
        <v>Bahan Baku</v>
      </c>
      <c r="E949" s="31" t="s">
        <v>79</v>
      </c>
      <c r="F949" s="30">
        <v>0</v>
      </c>
      <c r="G949" s="30">
        <v>260</v>
      </c>
      <c r="H949" s="30">
        <v>1900</v>
      </c>
      <c r="I949" s="30">
        <v>1640</v>
      </c>
      <c r="J949" s="30" t="s">
        <v>87</v>
      </c>
      <c r="K949" s="32" t="s">
        <v>104</v>
      </c>
    </row>
    <row r="950" spans="1:11" ht="14.5" x14ac:dyDescent="0.35">
      <c r="A950" s="3"/>
      <c r="C950" s="4"/>
      <c r="E950" s="4"/>
      <c r="K950" s="2"/>
    </row>
    <row r="951" spans="1:11" ht="14.5" x14ac:dyDescent="0.35">
      <c r="A951" s="3"/>
      <c r="C951" s="4"/>
      <c r="E951" s="4"/>
      <c r="K951" s="2"/>
    </row>
    <row r="952" spans="1:11" ht="14.5" x14ac:dyDescent="0.35">
      <c r="A952" s="3"/>
      <c r="C952" s="4"/>
      <c r="E952" s="4"/>
      <c r="K952" s="2"/>
    </row>
    <row r="953" spans="1:11" ht="14.5" x14ac:dyDescent="0.35">
      <c r="A953" s="3"/>
      <c r="C953" s="4"/>
      <c r="E953" s="4"/>
      <c r="K953" s="2"/>
    </row>
    <row r="954" spans="1:11" ht="14.5" x14ac:dyDescent="0.35">
      <c r="A954" s="3"/>
      <c r="C954" s="4"/>
      <c r="E954" s="4"/>
      <c r="K954" s="2"/>
    </row>
    <row r="955" spans="1:11" ht="14.5" x14ac:dyDescent="0.35">
      <c r="A955" s="3"/>
      <c r="C955" s="4"/>
      <c r="E955" s="4"/>
      <c r="K955" s="2"/>
    </row>
    <row r="956" spans="1:11" ht="14.5" x14ac:dyDescent="0.35">
      <c r="A956" s="3"/>
      <c r="C956" s="4"/>
      <c r="E956" s="4"/>
      <c r="K956" s="2"/>
    </row>
    <row r="957" spans="1:11" ht="14.5" x14ac:dyDescent="0.35">
      <c r="A957" s="3"/>
      <c r="C957" s="4"/>
      <c r="E957" s="4"/>
      <c r="K957" s="2"/>
    </row>
    <row r="958" spans="1:11" ht="14.5" x14ac:dyDescent="0.35">
      <c r="A958" s="3"/>
      <c r="C958" s="4"/>
      <c r="E958" s="4"/>
      <c r="K958" s="2"/>
    </row>
    <row r="959" spans="1:11" ht="14.5" x14ac:dyDescent="0.35">
      <c r="A959" s="3"/>
      <c r="C959" s="4"/>
      <c r="E959" s="4"/>
      <c r="K959" s="2"/>
    </row>
    <row r="960" spans="1:11" ht="14.5" x14ac:dyDescent="0.35">
      <c r="A960" s="3"/>
      <c r="C960" s="4"/>
      <c r="E960" s="4"/>
      <c r="K960" s="2"/>
    </row>
    <row r="961" spans="1:11" ht="14.5" x14ac:dyDescent="0.35">
      <c r="A961" s="3"/>
      <c r="C961" s="4"/>
      <c r="E961" s="4"/>
      <c r="K961" s="2"/>
    </row>
    <row r="962" spans="1:11" ht="14.5" x14ac:dyDescent="0.35">
      <c r="A962" s="3"/>
      <c r="C962" s="4"/>
      <c r="E962" s="4"/>
      <c r="K962" s="2"/>
    </row>
    <row r="963" spans="1:11" ht="14.5" x14ac:dyDescent="0.35">
      <c r="A963" s="3"/>
      <c r="C963" s="4"/>
      <c r="E963" s="4"/>
      <c r="K963" s="2"/>
    </row>
    <row r="964" spans="1:11" ht="12.5" x14ac:dyDescent="0.25">
      <c r="A964" s="3"/>
      <c r="C964" s="4"/>
      <c r="E964" s="4"/>
      <c r="K964" s="4"/>
    </row>
    <row r="965" spans="1:11" ht="12.5" x14ac:dyDescent="0.25">
      <c r="A965" s="3"/>
      <c r="C965" s="4"/>
      <c r="E965" s="4"/>
      <c r="K965" s="4"/>
    </row>
    <row r="966" spans="1:11" ht="12.5" x14ac:dyDescent="0.25">
      <c r="A966" s="3"/>
      <c r="C966" s="4"/>
      <c r="E966" s="4"/>
      <c r="K966" s="4"/>
    </row>
    <row r="967" spans="1:11" ht="12.5" x14ac:dyDescent="0.25">
      <c r="A967" s="3"/>
      <c r="C967" s="4"/>
      <c r="E967" s="4"/>
      <c r="K967" s="4"/>
    </row>
    <row r="968" spans="1:11" ht="12.5" x14ac:dyDescent="0.25">
      <c r="A968" s="3"/>
      <c r="C968" s="4"/>
      <c r="E968" s="4"/>
      <c r="K968" s="4"/>
    </row>
    <row r="969" spans="1:11" ht="12.5" x14ac:dyDescent="0.25">
      <c r="A969" s="3"/>
      <c r="C969" s="4"/>
      <c r="E969" s="4"/>
      <c r="K969" s="4"/>
    </row>
    <row r="970" spans="1:11" ht="12.5" x14ac:dyDescent="0.25">
      <c r="A970" s="3"/>
      <c r="C970" s="4"/>
      <c r="E970" s="4"/>
      <c r="K970" s="4"/>
    </row>
    <row r="971" spans="1:11" ht="12.5" x14ac:dyDescent="0.25">
      <c r="A971" s="3"/>
      <c r="C971" s="4"/>
      <c r="E971" s="4"/>
      <c r="K971" s="4"/>
    </row>
    <row r="972" spans="1:11" ht="12.5" x14ac:dyDescent="0.25">
      <c r="A972" s="3"/>
      <c r="C972" s="4"/>
      <c r="E972" s="4"/>
      <c r="K972" s="4"/>
    </row>
    <row r="973" spans="1:11" ht="12.5" x14ac:dyDescent="0.25">
      <c r="A973" s="3"/>
      <c r="C973" s="4"/>
      <c r="E973" s="4"/>
      <c r="K973" s="4"/>
    </row>
    <row r="974" spans="1:11" ht="12.5" x14ac:dyDescent="0.25">
      <c r="A974" s="3"/>
      <c r="C974" s="4"/>
      <c r="E974" s="4"/>
      <c r="K974" s="4"/>
    </row>
    <row r="975" spans="1:11" ht="12.5" x14ac:dyDescent="0.25">
      <c r="A975" s="3"/>
      <c r="C975" s="4"/>
      <c r="E975" s="4"/>
      <c r="K975" s="4"/>
    </row>
    <row r="976" spans="1:11" ht="12.5" x14ac:dyDescent="0.25">
      <c r="A976" s="3"/>
      <c r="C976" s="4"/>
      <c r="E976" s="4"/>
      <c r="K976" s="4"/>
    </row>
    <row r="977" spans="1:11" ht="12.5" x14ac:dyDescent="0.25">
      <c r="A977" s="3"/>
      <c r="C977" s="4"/>
      <c r="E977" s="4"/>
      <c r="K977" s="4"/>
    </row>
    <row r="978" spans="1:11" ht="12.5" x14ac:dyDescent="0.25">
      <c r="A978" s="3"/>
      <c r="C978" s="4"/>
      <c r="E978" s="4"/>
      <c r="K978" s="4"/>
    </row>
    <row r="979" spans="1:11" ht="12.5" x14ac:dyDescent="0.25">
      <c r="A979" s="3"/>
      <c r="C979" s="4"/>
      <c r="E979" s="4"/>
      <c r="K979" s="4"/>
    </row>
    <row r="980" spans="1:11" ht="12.5" x14ac:dyDescent="0.25">
      <c r="A980" s="3"/>
      <c r="C980" s="4"/>
      <c r="E980" s="4"/>
      <c r="K980" s="4"/>
    </row>
    <row r="981" spans="1:11" ht="12.5" x14ac:dyDescent="0.25">
      <c r="A981" s="3"/>
      <c r="C981" s="4"/>
      <c r="E981" s="4"/>
      <c r="K981" s="4"/>
    </row>
    <row r="982" spans="1:11" ht="12.5" x14ac:dyDescent="0.25">
      <c r="A982" s="3"/>
      <c r="C982" s="4"/>
      <c r="E982" s="4"/>
      <c r="K982" s="4"/>
    </row>
    <row r="983" spans="1:11" ht="12.5" x14ac:dyDescent="0.25">
      <c r="A983" s="3"/>
      <c r="C983" s="4"/>
      <c r="E983" s="4"/>
      <c r="K983" s="4"/>
    </row>
    <row r="984" spans="1:11" ht="12.5" x14ac:dyDescent="0.25">
      <c r="A984" s="3"/>
      <c r="C984" s="4"/>
      <c r="E984" s="4"/>
      <c r="K984" s="4"/>
    </row>
    <row r="985" spans="1:11" ht="12.5" x14ac:dyDescent="0.25">
      <c r="A985" s="3"/>
      <c r="C985" s="4"/>
      <c r="E985" s="4"/>
      <c r="K985" s="4"/>
    </row>
    <row r="986" spans="1:11" ht="12.5" x14ac:dyDescent="0.25">
      <c r="A986" s="3"/>
      <c r="C986" s="4"/>
      <c r="E986" s="4"/>
      <c r="K986" s="4"/>
    </row>
    <row r="987" spans="1:11" ht="12.5" x14ac:dyDescent="0.25">
      <c r="A987" s="3"/>
      <c r="C987" s="4"/>
      <c r="E987" s="4"/>
      <c r="K987" s="4"/>
    </row>
    <row r="988" spans="1:11" ht="12.5" x14ac:dyDescent="0.25">
      <c r="A988" s="3"/>
      <c r="C988" s="4"/>
      <c r="E988" s="4"/>
      <c r="K988" s="4"/>
    </row>
    <row r="989" spans="1:11" ht="12.5" x14ac:dyDescent="0.25">
      <c r="A989" s="3"/>
      <c r="C989" s="4"/>
      <c r="E989" s="4"/>
      <c r="K989" s="4"/>
    </row>
    <row r="990" spans="1:11" ht="12.5" x14ac:dyDescent="0.25">
      <c r="A990" s="3"/>
      <c r="C990" s="4"/>
      <c r="E990" s="4"/>
      <c r="K990" s="4"/>
    </row>
    <row r="991" spans="1:11" ht="12.5" x14ac:dyDescent="0.25">
      <c r="A991" s="3"/>
      <c r="C991" s="4"/>
      <c r="E991" s="4"/>
      <c r="K991" s="4"/>
    </row>
    <row r="992" spans="1:11" ht="12.5" x14ac:dyDescent="0.25">
      <c r="A992" s="3"/>
      <c r="C992" s="4"/>
      <c r="E992" s="4"/>
      <c r="K992" s="4"/>
    </row>
    <row r="993" spans="1:11" ht="12.5" x14ac:dyDescent="0.25">
      <c r="A993" s="3"/>
      <c r="C993" s="4"/>
      <c r="E993" s="4"/>
      <c r="K993" s="4"/>
    </row>
    <row r="994" spans="1:11" ht="12.5" x14ac:dyDescent="0.25">
      <c r="A994" s="3"/>
      <c r="C994" s="4"/>
      <c r="E994" s="4"/>
      <c r="K994" s="4"/>
    </row>
    <row r="995" spans="1:11" ht="12.5" x14ac:dyDescent="0.25">
      <c r="A995" s="3"/>
      <c r="C995" s="4"/>
      <c r="E995" s="4"/>
      <c r="K995" s="4"/>
    </row>
    <row r="996" spans="1:11" ht="12.5" x14ac:dyDescent="0.25">
      <c r="A996" s="3"/>
      <c r="C996" s="4"/>
      <c r="E996" s="4"/>
      <c r="K996" s="4"/>
    </row>
    <row r="997" spans="1:11" ht="12.5" x14ac:dyDescent="0.25">
      <c r="A997" s="3"/>
      <c r="C997" s="4"/>
      <c r="E997" s="4"/>
      <c r="K997" s="4"/>
    </row>
    <row r="998" spans="1:11" ht="12.5" x14ac:dyDescent="0.25">
      <c r="A998" s="3"/>
      <c r="C998" s="4"/>
      <c r="E998" s="4"/>
      <c r="K998" s="4"/>
    </row>
    <row r="999" spans="1:11" ht="12.5" x14ac:dyDescent="0.25">
      <c r="A999" s="3"/>
      <c r="C999" s="4"/>
      <c r="E999" s="4"/>
      <c r="K999" s="4"/>
    </row>
    <row r="1000" spans="1:11" ht="12.5" x14ac:dyDescent="0.25">
      <c r="A1000" s="3"/>
      <c r="C1000" s="4"/>
      <c r="E1000" s="4"/>
      <c r="K1000" s="4"/>
    </row>
  </sheetData>
  <mergeCells count="1">
    <mergeCell ref="M23:N23"/>
  </mergeCells>
  <pageMargins left="0.7" right="0.7" top="0.75" bottom="0.75" header="0.3" footer="0.3"/>
  <pageSetup paperSize="9" orientation="portrait" horizontalDpi="0" verticalDpi="0" r:id="rId1"/>
  <ignoredErrors>
    <ignoredError sqref="O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07"/>
  <sheetViews>
    <sheetView topLeftCell="I1" zoomScale="70" zoomScaleNormal="70" workbookViewId="0">
      <selection activeCell="I1" sqref="A1:O107"/>
    </sheetView>
  </sheetViews>
  <sheetFormatPr defaultColWidth="12.6328125" defaultRowHeight="15.75" customHeight="1" x14ac:dyDescent="0.25"/>
  <cols>
    <col min="1" max="1" width="11.7265625" bestFit="1" customWidth="1"/>
    <col min="2" max="2" width="20.36328125" bestFit="1" customWidth="1"/>
    <col min="3" max="3" width="15.90625" bestFit="1" customWidth="1"/>
    <col min="4" max="4" width="26.26953125" bestFit="1" customWidth="1"/>
    <col min="5" max="5" width="31.453125" bestFit="1" customWidth="1"/>
    <col min="6" max="6" width="15.54296875" bestFit="1" customWidth="1"/>
    <col min="7" max="7" width="17" bestFit="1" customWidth="1"/>
    <col min="8" max="8" width="11.1796875" bestFit="1" customWidth="1"/>
    <col min="9" max="9" width="17.90625" bestFit="1" customWidth="1"/>
    <col min="10" max="10" width="12.1796875" bestFit="1" customWidth="1"/>
    <col min="11" max="11" width="14.26953125" bestFit="1" customWidth="1"/>
    <col min="12" max="12" width="10.453125" bestFit="1" customWidth="1"/>
    <col min="13" max="13" width="19" bestFit="1" customWidth="1"/>
    <col min="14" max="14" width="13.81640625" bestFit="1" customWidth="1"/>
    <col min="15" max="15" width="17" bestFit="1" customWidth="1"/>
    <col min="17" max="17" width="21.81640625" bestFit="1" customWidth="1"/>
  </cols>
  <sheetData>
    <row r="1" spans="1:18" s="6" customFormat="1" ht="15.75" customHeight="1" x14ac:dyDescent="0.35">
      <c r="A1" s="34" t="s">
        <v>70</v>
      </c>
      <c r="B1" s="35" t="s">
        <v>125</v>
      </c>
      <c r="C1" s="35" t="s">
        <v>0</v>
      </c>
      <c r="D1" s="35" t="s">
        <v>1</v>
      </c>
      <c r="E1" s="35" t="s">
        <v>126</v>
      </c>
      <c r="F1" s="35" t="s">
        <v>127</v>
      </c>
      <c r="G1" s="35" t="s">
        <v>74</v>
      </c>
      <c r="H1" s="35" t="s">
        <v>77</v>
      </c>
      <c r="I1" s="36" t="s">
        <v>128</v>
      </c>
      <c r="J1" s="36" t="s">
        <v>129</v>
      </c>
      <c r="K1" s="36" t="s">
        <v>130</v>
      </c>
      <c r="L1" s="36" t="s">
        <v>131</v>
      </c>
      <c r="M1" s="36" t="s">
        <v>132</v>
      </c>
      <c r="N1" s="36" t="s">
        <v>133</v>
      </c>
      <c r="O1" s="36" t="s">
        <v>134</v>
      </c>
    </row>
    <row r="2" spans="1:18" ht="15.75" customHeight="1" x14ac:dyDescent="0.35">
      <c r="A2" s="29">
        <v>45659</v>
      </c>
      <c r="B2" s="30" t="s">
        <v>135</v>
      </c>
      <c r="C2" s="30" t="s">
        <v>64</v>
      </c>
      <c r="D2" s="31" t="s">
        <v>65</v>
      </c>
      <c r="E2" s="32" t="s">
        <v>136</v>
      </c>
      <c r="F2" s="32" t="s">
        <v>137</v>
      </c>
      <c r="G2" s="30">
        <v>400</v>
      </c>
      <c r="H2" s="30" t="s">
        <v>80</v>
      </c>
      <c r="I2" s="30" t="s">
        <v>32</v>
      </c>
      <c r="J2" s="30" t="str">
        <f>IFERROR(VLOOKUP(I2,'Kode Data'!$E$9:$F$13,2,0)&amp;DATEVALUE(A2),"NA")</f>
        <v>NA</v>
      </c>
      <c r="K2" s="30" t="s">
        <v>138</v>
      </c>
      <c r="L2" s="30" t="s">
        <v>139</v>
      </c>
      <c r="M2" s="29">
        <v>45667</v>
      </c>
      <c r="N2" s="37">
        <f t="shared" ref="N2:N107" si="0">IFERROR(M2-A2,"NA")</f>
        <v>8</v>
      </c>
      <c r="O2" s="5" t="str">
        <f t="shared" ref="O2:O107" si="1">IF(AND(L2="Delivered",OR(AND(F2="Balikpapan",N2&lt;=8),AND(F2="Bandung",N2&lt;=4),AND(F2="Jakarta",N2&lt;=4),AND(F2="Surabaya",N2&lt;=1),AND(F2="Denpasar",N2&lt;=5),AND(F2="Makassar",N2&lt;=8),AND(F2="Medan",N2&lt;=8),AND(F2="Pontianak",N2&lt;=14),AND(F2="Semarang",N2&lt;=2),AND(F2="Yogyakarta",N2&lt;=3),)),"Tepat Waktu","Terlambat/Cancel")</f>
        <v>Tepat Waktu</v>
      </c>
      <c r="Q2" s="20" t="s">
        <v>140</v>
      </c>
      <c r="R2" s="5">
        <f>COUNTIF(O2:O107,"Tepat Waktu")</f>
        <v>72</v>
      </c>
    </row>
    <row r="3" spans="1:18" ht="15.75" customHeight="1" x14ac:dyDescent="0.35">
      <c r="A3" s="29">
        <v>45659</v>
      </c>
      <c r="B3" s="30" t="s">
        <v>141</v>
      </c>
      <c r="C3" s="30" t="s">
        <v>66</v>
      </c>
      <c r="D3" s="31" t="s">
        <v>67</v>
      </c>
      <c r="E3" s="32" t="s">
        <v>142</v>
      </c>
      <c r="F3" s="32" t="s">
        <v>143</v>
      </c>
      <c r="G3" s="30">
        <v>400</v>
      </c>
      <c r="H3" s="30" t="s">
        <v>80</v>
      </c>
      <c r="I3" s="30" t="s">
        <v>144</v>
      </c>
      <c r="J3" s="30" t="str">
        <f>IFERROR(VLOOKUP(I3,'Kode Data'!$E$9:$F$13,2,0)&amp;DATEVALUE(A3),"NA")</f>
        <v>NA</v>
      </c>
      <c r="K3" s="30" t="s">
        <v>145</v>
      </c>
      <c r="L3" s="30" t="s">
        <v>139</v>
      </c>
      <c r="M3" s="29">
        <v>45660</v>
      </c>
      <c r="N3" s="37">
        <f t="shared" si="0"/>
        <v>1</v>
      </c>
      <c r="O3" s="5" t="str">
        <f t="shared" si="1"/>
        <v>Tepat Waktu</v>
      </c>
      <c r="Q3" s="20" t="s">
        <v>146</v>
      </c>
      <c r="R3" s="5">
        <f>COUNTIF(O2:O107,"Terlambat/Cancel")</f>
        <v>34</v>
      </c>
    </row>
    <row r="4" spans="1:18" ht="15.75" customHeight="1" x14ac:dyDescent="0.35">
      <c r="A4" s="29">
        <v>45659</v>
      </c>
      <c r="B4" s="30" t="s">
        <v>147</v>
      </c>
      <c r="C4" s="30" t="s">
        <v>68</v>
      </c>
      <c r="D4" s="31" t="s">
        <v>69</v>
      </c>
      <c r="E4" s="32" t="s">
        <v>148</v>
      </c>
      <c r="F4" s="32" t="s">
        <v>149</v>
      </c>
      <c r="G4" s="30">
        <v>300</v>
      </c>
      <c r="H4" s="30" t="s">
        <v>80</v>
      </c>
      <c r="I4" s="30" t="s">
        <v>144</v>
      </c>
      <c r="J4" s="30" t="str">
        <f>IFERROR(VLOOKUP(I4,'Kode Data'!$E$9:$F$13,2,0)&amp;DATEVALUE(A4),"NA")</f>
        <v>NA</v>
      </c>
      <c r="K4" s="30" t="s">
        <v>150</v>
      </c>
      <c r="L4" s="30" t="s">
        <v>139</v>
      </c>
      <c r="M4" s="29">
        <v>45663</v>
      </c>
      <c r="N4" s="37">
        <f t="shared" si="0"/>
        <v>4</v>
      </c>
      <c r="O4" s="5" t="str">
        <f t="shared" si="1"/>
        <v>Tepat Waktu</v>
      </c>
      <c r="Q4" s="20" t="s">
        <v>151</v>
      </c>
      <c r="R4" s="5">
        <f>SUM(R2:R3)</f>
        <v>106</v>
      </c>
    </row>
    <row r="5" spans="1:18" ht="15.75" customHeight="1" x14ac:dyDescent="0.35">
      <c r="A5" s="29">
        <v>45662</v>
      </c>
      <c r="B5" s="30" t="s">
        <v>152</v>
      </c>
      <c r="C5" s="30" t="s">
        <v>64</v>
      </c>
      <c r="D5" s="31" t="s">
        <v>65</v>
      </c>
      <c r="E5" s="32" t="s">
        <v>153</v>
      </c>
      <c r="F5" s="32" t="s">
        <v>154</v>
      </c>
      <c r="G5" s="30">
        <v>500</v>
      </c>
      <c r="H5" s="30" t="s">
        <v>80</v>
      </c>
      <c r="I5" s="30" t="s">
        <v>144</v>
      </c>
      <c r="J5" s="30" t="str">
        <f>IFERROR(VLOOKUP(I5,'Kode Data'!$E$9:$F$13,2,0)&amp;DATEVALUE(A5),"NA")</f>
        <v>NA</v>
      </c>
      <c r="K5" s="30" t="s">
        <v>150</v>
      </c>
      <c r="L5" s="30" t="s">
        <v>139</v>
      </c>
      <c r="M5" s="29">
        <v>45665</v>
      </c>
      <c r="N5" s="37">
        <f t="shared" si="0"/>
        <v>3</v>
      </c>
      <c r="O5" s="5" t="str">
        <f t="shared" si="1"/>
        <v>Tepat Waktu</v>
      </c>
    </row>
    <row r="6" spans="1:18" ht="15.75" customHeight="1" x14ac:dyDescent="0.35">
      <c r="A6" s="29">
        <v>45662</v>
      </c>
      <c r="B6" s="30" t="s">
        <v>155</v>
      </c>
      <c r="C6" s="30" t="s">
        <v>68</v>
      </c>
      <c r="D6" s="31" t="s">
        <v>69</v>
      </c>
      <c r="E6" s="32" t="s">
        <v>156</v>
      </c>
      <c r="F6" s="32" t="s">
        <v>157</v>
      </c>
      <c r="G6" s="30">
        <v>400</v>
      </c>
      <c r="H6" s="30" t="s">
        <v>80</v>
      </c>
      <c r="I6" s="30" t="s">
        <v>158</v>
      </c>
      <c r="J6" s="30" t="str">
        <f>IFERROR(VLOOKUP(I6,'Kode Data'!$E$9:$F$13,2,0)&amp;DATEVALUE(A6),"NA")</f>
        <v>NA</v>
      </c>
      <c r="K6" s="30" t="s">
        <v>138</v>
      </c>
      <c r="L6" s="30" t="s">
        <v>139</v>
      </c>
      <c r="M6" s="29">
        <v>45670</v>
      </c>
      <c r="N6" s="37">
        <f t="shared" si="0"/>
        <v>8</v>
      </c>
      <c r="O6" s="5" t="str">
        <f t="shared" si="1"/>
        <v>Tepat Waktu</v>
      </c>
    </row>
    <row r="7" spans="1:18" ht="15.75" customHeight="1" x14ac:dyDescent="0.35">
      <c r="A7" s="29">
        <v>45665</v>
      </c>
      <c r="B7" s="30" t="s">
        <v>159</v>
      </c>
      <c r="C7" s="30" t="s">
        <v>64</v>
      </c>
      <c r="D7" s="31" t="s">
        <v>65</v>
      </c>
      <c r="E7" s="32" t="s">
        <v>160</v>
      </c>
      <c r="F7" s="32" t="s">
        <v>154</v>
      </c>
      <c r="G7" s="30">
        <v>350</v>
      </c>
      <c r="H7" s="30" t="s">
        <v>80</v>
      </c>
      <c r="I7" s="30" t="s">
        <v>144</v>
      </c>
      <c r="J7" s="30" t="str">
        <f>IFERROR(VLOOKUP(I7,'Kode Data'!$E$9:$F$13,2,0)&amp;DATEVALUE(A7),"NA")</f>
        <v>NA</v>
      </c>
      <c r="K7" s="30" t="s">
        <v>161</v>
      </c>
      <c r="L7" s="30" t="s">
        <v>139</v>
      </c>
      <c r="M7" s="29">
        <v>45668</v>
      </c>
      <c r="N7" s="37">
        <f t="shared" si="0"/>
        <v>3</v>
      </c>
      <c r="O7" s="5" t="str">
        <f t="shared" si="1"/>
        <v>Tepat Waktu</v>
      </c>
    </row>
    <row r="8" spans="1:18" ht="15.75" customHeight="1" x14ac:dyDescent="0.35">
      <c r="A8" s="29">
        <v>45665</v>
      </c>
      <c r="B8" s="30" t="s">
        <v>162</v>
      </c>
      <c r="C8" s="30" t="s">
        <v>68</v>
      </c>
      <c r="D8" s="31" t="s">
        <v>69</v>
      </c>
      <c r="E8" s="32" t="s">
        <v>163</v>
      </c>
      <c r="F8" s="32" t="s">
        <v>164</v>
      </c>
      <c r="G8" s="30">
        <v>350</v>
      </c>
      <c r="H8" s="30" t="s">
        <v>80</v>
      </c>
      <c r="I8" s="30" t="s">
        <v>32</v>
      </c>
      <c r="J8" s="30" t="str">
        <f>IFERROR(VLOOKUP(I8,'Kode Data'!$E$9:$F$13,2,0)&amp;DATEVALUE(A8),"NA")</f>
        <v>NA</v>
      </c>
      <c r="K8" s="30" t="s">
        <v>138</v>
      </c>
      <c r="L8" s="30" t="s">
        <v>139</v>
      </c>
      <c r="M8" s="29">
        <v>45670</v>
      </c>
      <c r="N8" s="37">
        <f t="shared" si="0"/>
        <v>5</v>
      </c>
      <c r="O8" s="5" t="str">
        <f t="shared" si="1"/>
        <v>Tepat Waktu</v>
      </c>
    </row>
    <row r="9" spans="1:18" ht="15.75" customHeight="1" x14ac:dyDescent="0.35">
      <c r="A9" s="29">
        <v>45668</v>
      </c>
      <c r="B9" s="30" t="s">
        <v>165</v>
      </c>
      <c r="C9" s="30" t="s">
        <v>64</v>
      </c>
      <c r="D9" s="31" t="s">
        <v>65</v>
      </c>
      <c r="E9" s="32" t="s">
        <v>166</v>
      </c>
      <c r="F9" s="32" t="s">
        <v>167</v>
      </c>
      <c r="G9" s="30">
        <v>400</v>
      </c>
      <c r="H9" s="30" t="s">
        <v>80</v>
      </c>
      <c r="I9" s="30" t="s">
        <v>144</v>
      </c>
      <c r="J9" s="30" t="str">
        <f>IFERROR(VLOOKUP(I9,'Kode Data'!$E$9:$F$13,2,0)&amp;DATEVALUE(A9),"NA")</f>
        <v>NA</v>
      </c>
      <c r="K9" s="30" t="s">
        <v>168</v>
      </c>
      <c r="L9" s="30" t="s">
        <v>139</v>
      </c>
      <c r="M9" s="29">
        <v>45673</v>
      </c>
      <c r="N9" s="37">
        <f t="shared" si="0"/>
        <v>5</v>
      </c>
      <c r="O9" s="5" t="str">
        <f t="shared" si="1"/>
        <v>Terlambat/Cancel</v>
      </c>
    </row>
    <row r="10" spans="1:18" ht="15.75" customHeight="1" x14ac:dyDescent="0.35">
      <c r="A10" s="29">
        <v>45669</v>
      </c>
      <c r="B10" s="30" t="s">
        <v>169</v>
      </c>
      <c r="C10" s="30" t="s">
        <v>60</v>
      </c>
      <c r="D10" s="31" t="s">
        <v>61</v>
      </c>
      <c r="E10" s="32" t="s">
        <v>170</v>
      </c>
      <c r="F10" s="32" t="s">
        <v>149</v>
      </c>
      <c r="G10" s="30">
        <v>400</v>
      </c>
      <c r="H10" s="30" t="s">
        <v>80</v>
      </c>
      <c r="I10" s="30" t="s">
        <v>144</v>
      </c>
      <c r="J10" s="30" t="str">
        <f>IFERROR(VLOOKUP(I10,'Kode Data'!$E$9:$F$13,2,0)&amp;DATEVALUE(A10),"NA")</f>
        <v>NA</v>
      </c>
      <c r="K10" s="30" t="s">
        <v>168</v>
      </c>
      <c r="L10" s="30" t="s">
        <v>171</v>
      </c>
      <c r="M10" s="30" t="s">
        <v>138</v>
      </c>
      <c r="N10" s="37" t="str">
        <f t="shared" si="0"/>
        <v>NA</v>
      </c>
      <c r="O10" s="5" t="str">
        <f t="shared" si="1"/>
        <v>Terlambat/Cancel</v>
      </c>
    </row>
    <row r="11" spans="1:18" ht="15.75" customHeight="1" x14ac:dyDescent="0.35">
      <c r="A11" s="29">
        <v>45669</v>
      </c>
      <c r="B11" s="30" t="s">
        <v>172</v>
      </c>
      <c r="C11" s="30" t="s">
        <v>62</v>
      </c>
      <c r="D11" s="31" t="s">
        <v>63</v>
      </c>
      <c r="E11" s="32" t="s">
        <v>173</v>
      </c>
      <c r="F11" s="32" t="s">
        <v>143</v>
      </c>
      <c r="G11" s="30">
        <v>400</v>
      </c>
      <c r="H11" s="30" t="s">
        <v>80</v>
      </c>
      <c r="I11" s="30" t="s">
        <v>144</v>
      </c>
      <c r="J11" s="30" t="str">
        <f>IFERROR(VLOOKUP(I11,'Kode Data'!$E$9:$F$13,2,0)&amp;DATEVALUE(A11),"NA")</f>
        <v>NA</v>
      </c>
      <c r="K11" s="30" t="s">
        <v>174</v>
      </c>
      <c r="L11" s="30" t="s">
        <v>139</v>
      </c>
      <c r="M11" s="29">
        <v>45670</v>
      </c>
      <c r="N11" s="37">
        <f t="shared" si="0"/>
        <v>1</v>
      </c>
      <c r="O11" s="5" t="str">
        <f t="shared" si="1"/>
        <v>Tepat Waktu</v>
      </c>
    </row>
    <row r="12" spans="1:18" ht="15.75" customHeight="1" x14ac:dyDescent="0.35">
      <c r="A12" s="29">
        <v>45669</v>
      </c>
      <c r="B12" s="30" t="s">
        <v>175</v>
      </c>
      <c r="C12" s="30" t="s">
        <v>68</v>
      </c>
      <c r="D12" s="31" t="s">
        <v>69</v>
      </c>
      <c r="E12" s="32" t="s">
        <v>176</v>
      </c>
      <c r="F12" s="32" t="s">
        <v>143</v>
      </c>
      <c r="G12" s="30">
        <v>450</v>
      </c>
      <c r="H12" s="30" t="s">
        <v>80</v>
      </c>
      <c r="I12" s="30" t="s">
        <v>144</v>
      </c>
      <c r="J12" s="30" t="str">
        <f>IFERROR(VLOOKUP(I12,'Kode Data'!$E$9:$F$13,2,0)&amp;DATEVALUE(A12),"NA")</f>
        <v>NA</v>
      </c>
      <c r="K12" s="30" t="s">
        <v>161</v>
      </c>
      <c r="L12" s="30" t="s">
        <v>139</v>
      </c>
      <c r="M12" s="29">
        <v>45670</v>
      </c>
      <c r="N12" s="37">
        <f t="shared" si="0"/>
        <v>1</v>
      </c>
      <c r="O12" s="5" t="str">
        <f t="shared" si="1"/>
        <v>Tepat Waktu</v>
      </c>
    </row>
    <row r="13" spans="1:18" ht="15.75" customHeight="1" x14ac:dyDescent="0.35">
      <c r="A13" s="29">
        <v>45684</v>
      </c>
      <c r="B13" s="30" t="s">
        <v>177</v>
      </c>
      <c r="C13" s="30" t="s">
        <v>60</v>
      </c>
      <c r="D13" s="31" t="s">
        <v>61</v>
      </c>
      <c r="E13" s="32" t="s">
        <v>178</v>
      </c>
      <c r="F13" s="32" t="s">
        <v>149</v>
      </c>
      <c r="G13" s="30">
        <v>500</v>
      </c>
      <c r="H13" s="30" t="s">
        <v>80</v>
      </c>
      <c r="I13" s="30" t="s">
        <v>144</v>
      </c>
      <c r="J13" s="30" t="str">
        <f>IFERROR(VLOOKUP(I13,'Kode Data'!$E$9:$F$13,2,0)&amp;DATEVALUE(A13),"NA")</f>
        <v>NA</v>
      </c>
      <c r="K13" s="30" t="s">
        <v>145</v>
      </c>
      <c r="L13" s="30" t="s">
        <v>139</v>
      </c>
      <c r="M13" s="29">
        <v>45689</v>
      </c>
      <c r="N13" s="37">
        <f t="shared" si="0"/>
        <v>5</v>
      </c>
      <c r="O13" s="5" t="str">
        <f t="shared" si="1"/>
        <v>Terlambat/Cancel</v>
      </c>
    </row>
    <row r="14" spans="1:18" ht="15.75" customHeight="1" x14ac:dyDescent="0.35">
      <c r="A14" s="29">
        <v>45684</v>
      </c>
      <c r="B14" s="30" t="s">
        <v>179</v>
      </c>
      <c r="C14" s="30" t="s">
        <v>62</v>
      </c>
      <c r="D14" s="31" t="s">
        <v>63</v>
      </c>
      <c r="E14" s="32" t="s">
        <v>180</v>
      </c>
      <c r="F14" s="32" t="s">
        <v>164</v>
      </c>
      <c r="G14" s="30">
        <v>350</v>
      </c>
      <c r="H14" s="30" t="s">
        <v>80</v>
      </c>
      <c r="I14" s="30" t="s">
        <v>40</v>
      </c>
      <c r="J14" s="30" t="str">
        <f>IFERROR(VLOOKUP(I14,'Kode Data'!$E$9:$F$13,2,0)&amp;DATEVALUE(A14),"NA")</f>
        <v>NA</v>
      </c>
      <c r="K14" s="30" t="s">
        <v>138</v>
      </c>
      <c r="L14" s="30" t="s">
        <v>139</v>
      </c>
      <c r="M14" s="29">
        <v>45689</v>
      </c>
      <c r="N14" s="37">
        <f t="shared" si="0"/>
        <v>5</v>
      </c>
      <c r="O14" s="5" t="str">
        <f t="shared" si="1"/>
        <v>Tepat Waktu</v>
      </c>
    </row>
    <row r="15" spans="1:18" ht="15.75" customHeight="1" x14ac:dyDescent="0.35">
      <c r="A15" s="29">
        <v>45693</v>
      </c>
      <c r="B15" s="30" t="s">
        <v>181</v>
      </c>
      <c r="C15" s="30" t="s">
        <v>66</v>
      </c>
      <c r="D15" s="31" t="s">
        <v>67</v>
      </c>
      <c r="E15" s="32" t="s">
        <v>182</v>
      </c>
      <c r="F15" s="32" t="s">
        <v>154</v>
      </c>
      <c r="G15" s="30">
        <v>500</v>
      </c>
      <c r="H15" s="30" t="s">
        <v>80</v>
      </c>
      <c r="I15" s="30" t="s">
        <v>144</v>
      </c>
      <c r="J15" s="30" t="str">
        <f>IFERROR(VLOOKUP(I15,'Kode Data'!$E$9:$F$13,2,0)&amp;DATEVALUE(A15),"NA")</f>
        <v>NA</v>
      </c>
      <c r="K15" s="30" t="s">
        <v>161</v>
      </c>
      <c r="L15" s="30" t="s">
        <v>171</v>
      </c>
      <c r="M15" s="30" t="s">
        <v>138</v>
      </c>
      <c r="N15" s="37" t="str">
        <f t="shared" si="0"/>
        <v>NA</v>
      </c>
      <c r="O15" s="5" t="str">
        <f t="shared" si="1"/>
        <v>Terlambat/Cancel</v>
      </c>
    </row>
    <row r="16" spans="1:18" ht="15.75" customHeight="1" x14ac:dyDescent="0.35">
      <c r="A16" s="29">
        <v>45699</v>
      </c>
      <c r="B16" s="30" t="s">
        <v>183</v>
      </c>
      <c r="C16" s="30" t="s">
        <v>60</v>
      </c>
      <c r="D16" s="31" t="s">
        <v>61</v>
      </c>
      <c r="E16" s="32" t="s">
        <v>184</v>
      </c>
      <c r="F16" s="32" t="s">
        <v>157</v>
      </c>
      <c r="G16" s="30">
        <v>400</v>
      </c>
      <c r="H16" s="30" t="s">
        <v>80</v>
      </c>
      <c r="I16" s="30" t="s">
        <v>44</v>
      </c>
      <c r="J16" s="30" t="str">
        <f>IFERROR(VLOOKUP(I16,'Kode Data'!$E$9:$F$13,2,0)&amp;DATEVALUE(A16),"NA")</f>
        <v>NA</v>
      </c>
      <c r="K16" s="30" t="s">
        <v>138</v>
      </c>
      <c r="L16" s="30" t="s">
        <v>139</v>
      </c>
      <c r="M16" s="29">
        <v>45707</v>
      </c>
      <c r="N16" s="37">
        <f t="shared" si="0"/>
        <v>8</v>
      </c>
      <c r="O16" s="5" t="str">
        <f t="shared" si="1"/>
        <v>Tepat Waktu</v>
      </c>
    </row>
    <row r="17" spans="1:15" ht="15.75" customHeight="1" x14ac:dyDescent="0.35">
      <c r="A17" s="29">
        <v>45699</v>
      </c>
      <c r="B17" s="30" t="s">
        <v>185</v>
      </c>
      <c r="C17" s="30" t="s">
        <v>62</v>
      </c>
      <c r="D17" s="31" t="s">
        <v>63</v>
      </c>
      <c r="E17" s="32" t="s">
        <v>186</v>
      </c>
      <c r="F17" s="32" t="s">
        <v>154</v>
      </c>
      <c r="G17" s="30">
        <v>500</v>
      </c>
      <c r="H17" s="30" t="s">
        <v>80</v>
      </c>
      <c r="I17" s="30" t="s">
        <v>144</v>
      </c>
      <c r="J17" s="30" t="str">
        <f>IFERROR(VLOOKUP(I17,'Kode Data'!$E$9:$F$13,2,0)&amp;DATEVALUE(A17),"NA")</f>
        <v>NA</v>
      </c>
      <c r="K17" s="30" t="s">
        <v>150</v>
      </c>
      <c r="L17" s="30" t="s">
        <v>171</v>
      </c>
      <c r="M17" s="30" t="s">
        <v>138</v>
      </c>
      <c r="N17" s="37" t="str">
        <f t="shared" si="0"/>
        <v>NA</v>
      </c>
      <c r="O17" s="5" t="str">
        <f t="shared" si="1"/>
        <v>Terlambat/Cancel</v>
      </c>
    </row>
    <row r="18" spans="1:15" ht="15.75" customHeight="1" x14ac:dyDescent="0.35">
      <c r="A18" s="29">
        <v>45702</v>
      </c>
      <c r="B18" s="30" t="s">
        <v>187</v>
      </c>
      <c r="C18" s="30" t="s">
        <v>64</v>
      </c>
      <c r="D18" s="31" t="s">
        <v>65</v>
      </c>
      <c r="E18" s="32" t="s">
        <v>188</v>
      </c>
      <c r="F18" s="32" t="s">
        <v>149</v>
      </c>
      <c r="G18" s="30">
        <v>450</v>
      </c>
      <c r="H18" s="30" t="s">
        <v>80</v>
      </c>
      <c r="I18" s="30" t="s">
        <v>144</v>
      </c>
      <c r="J18" s="30" t="str">
        <f>IFERROR(VLOOKUP(I18,'Kode Data'!$E$9:$F$13,2,0)&amp;DATEVALUE(A18),"NA")</f>
        <v>NA</v>
      </c>
      <c r="K18" s="30" t="s">
        <v>150</v>
      </c>
      <c r="L18" s="30" t="s">
        <v>139</v>
      </c>
      <c r="M18" s="29">
        <v>45706</v>
      </c>
      <c r="N18" s="37">
        <f t="shared" si="0"/>
        <v>4</v>
      </c>
      <c r="O18" s="5" t="str">
        <f t="shared" si="1"/>
        <v>Tepat Waktu</v>
      </c>
    </row>
    <row r="19" spans="1:15" ht="15.75" customHeight="1" x14ac:dyDescent="0.35">
      <c r="A19" s="29">
        <v>45703</v>
      </c>
      <c r="B19" s="30" t="s">
        <v>189</v>
      </c>
      <c r="C19" s="30" t="s">
        <v>68</v>
      </c>
      <c r="D19" s="31" t="s">
        <v>69</v>
      </c>
      <c r="E19" s="32" t="s">
        <v>190</v>
      </c>
      <c r="F19" s="32" t="s">
        <v>167</v>
      </c>
      <c r="G19" s="30">
        <v>400</v>
      </c>
      <c r="H19" s="30" t="s">
        <v>80</v>
      </c>
      <c r="I19" s="30" t="s">
        <v>144</v>
      </c>
      <c r="J19" s="30" t="str">
        <f>IFERROR(VLOOKUP(I19,'Kode Data'!$E$9:$F$13,2,0)&amp;DATEVALUE(A19),"NA")</f>
        <v>NA</v>
      </c>
      <c r="K19" s="30" t="s">
        <v>168</v>
      </c>
      <c r="L19" s="30" t="s">
        <v>139</v>
      </c>
      <c r="M19" s="29">
        <v>45707</v>
      </c>
      <c r="N19" s="37">
        <f t="shared" si="0"/>
        <v>4</v>
      </c>
      <c r="O19" s="5" t="str">
        <f t="shared" si="1"/>
        <v>Tepat Waktu</v>
      </c>
    </row>
    <row r="20" spans="1:15" ht="15.75" customHeight="1" x14ac:dyDescent="0.35">
      <c r="A20" s="29">
        <v>45706</v>
      </c>
      <c r="B20" s="30" t="s">
        <v>191</v>
      </c>
      <c r="C20" s="30" t="s">
        <v>64</v>
      </c>
      <c r="D20" s="31" t="s">
        <v>65</v>
      </c>
      <c r="E20" s="32" t="s">
        <v>192</v>
      </c>
      <c r="F20" s="32" t="s">
        <v>193</v>
      </c>
      <c r="G20" s="30">
        <v>500</v>
      </c>
      <c r="H20" s="30" t="s">
        <v>80</v>
      </c>
      <c r="I20" s="30" t="s">
        <v>48</v>
      </c>
      <c r="J20" s="30" t="str">
        <f>IFERROR(VLOOKUP(I20,'Kode Data'!$E$9:$F$13,2,0)&amp;DATEVALUE(A20),"NA")</f>
        <v>NA</v>
      </c>
      <c r="K20" s="30" t="s">
        <v>138</v>
      </c>
      <c r="L20" s="30" t="s">
        <v>139</v>
      </c>
      <c r="M20" s="29">
        <v>45714</v>
      </c>
      <c r="N20" s="37">
        <f t="shared" si="0"/>
        <v>8</v>
      </c>
      <c r="O20" s="5" t="str">
        <f t="shared" si="1"/>
        <v>Tepat Waktu</v>
      </c>
    </row>
    <row r="21" spans="1:15" ht="15.75" customHeight="1" x14ac:dyDescent="0.35">
      <c r="A21" s="29">
        <v>45708</v>
      </c>
      <c r="B21" s="30" t="s">
        <v>194</v>
      </c>
      <c r="C21" s="30" t="s">
        <v>64</v>
      </c>
      <c r="D21" s="31" t="s">
        <v>65</v>
      </c>
      <c r="E21" s="32" t="s">
        <v>195</v>
      </c>
      <c r="F21" s="32" t="s">
        <v>143</v>
      </c>
      <c r="G21" s="30">
        <v>450</v>
      </c>
      <c r="H21" s="30" t="s">
        <v>80</v>
      </c>
      <c r="I21" s="30" t="s">
        <v>144</v>
      </c>
      <c r="J21" s="30" t="str">
        <f>IFERROR(VLOOKUP(I21,'Kode Data'!$E$9:$F$13,2,0)&amp;DATEVALUE(A21),"NA")</f>
        <v>NA</v>
      </c>
      <c r="K21" s="30" t="s">
        <v>161</v>
      </c>
      <c r="L21" s="30" t="s">
        <v>139</v>
      </c>
      <c r="M21" s="29">
        <v>45709</v>
      </c>
      <c r="N21" s="37">
        <f t="shared" si="0"/>
        <v>1</v>
      </c>
      <c r="O21" s="5" t="str">
        <f t="shared" si="1"/>
        <v>Tepat Waktu</v>
      </c>
    </row>
    <row r="22" spans="1:15" ht="14.5" x14ac:dyDescent="0.35">
      <c r="A22" s="29">
        <v>45712</v>
      </c>
      <c r="B22" s="30" t="s">
        <v>196</v>
      </c>
      <c r="C22" s="30" t="s">
        <v>60</v>
      </c>
      <c r="D22" s="31" t="s">
        <v>61</v>
      </c>
      <c r="E22" s="32" t="s">
        <v>197</v>
      </c>
      <c r="F22" s="32" t="s">
        <v>154</v>
      </c>
      <c r="G22" s="30">
        <v>600</v>
      </c>
      <c r="H22" s="30" t="s">
        <v>80</v>
      </c>
      <c r="I22" s="30" t="s">
        <v>144</v>
      </c>
      <c r="J22" s="30" t="str">
        <f>IFERROR(VLOOKUP(I22,'Kode Data'!$E$9:$F$13,2,0)&amp;DATEVALUE(A22),"NA")</f>
        <v>NA</v>
      </c>
      <c r="K22" s="30" t="s">
        <v>168</v>
      </c>
      <c r="L22" s="30" t="s">
        <v>139</v>
      </c>
      <c r="M22" s="29">
        <v>45715</v>
      </c>
      <c r="N22" s="37">
        <f t="shared" si="0"/>
        <v>3</v>
      </c>
      <c r="O22" s="5" t="str">
        <f t="shared" si="1"/>
        <v>Tepat Waktu</v>
      </c>
    </row>
    <row r="23" spans="1:15" ht="14.5" x14ac:dyDescent="0.35">
      <c r="A23" s="29">
        <v>45712</v>
      </c>
      <c r="B23" s="30" t="s">
        <v>198</v>
      </c>
      <c r="C23" s="30" t="s">
        <v>62</v>
      </c>
      <c r="D23" s="31" t="s">
        <v>63</v>
      </c>
      <c r="E23" s="32" t="s">
        <v>199</v>
      </c>
      <c r="F23" s="32" t="s">
        <v>157</v>
      </c>
      <c r="G23" s="30">
        <v>400</v>
      </c>
      <c r="H23" s="30" t="s">
        <v>80</v>
      </c>
      <c r="I23" s="30" t="s">
        <v>158</v>
      </c>
      <c r="J23" s="30" t="str">
        <f>IFERROR(VLOOKUP(I23,'Kode Data'!$E$9:$F$13,2,0)&amp;DATEVALUE(A23),"NA")</f>
        <v>NA</v>
      </c>
      <c r="K23" s="30" t="s">
        <v>138</v>
      </c>
      <c r="L23" s="30" t="s">
        <v>139</v>
      </c>
      <c r="M23" s="29">
        <v>45720</v>
      </c>
      <c r="N23" s="37">
        <f t="shared" si="0"/>
        <v>8</v>
      </c>
      <c r="O23" s="5" t="str">
        <f t="shared" si="1"/>
        <v>Tepat Waktu</v>
      </c>
    </row>
    <row r="24" spans="1:15" ht="14.5" x14ac:dyDescent="0.35">
      <c r="A24" s="29">
        <v>45725</v>
      </c>
      <c r="B24" s="30" t="s">
        <v>200</v>
      </c>
      <c r="C24" s="30" t="s">
        <v>60</v>
      </c>
      <c r="D24" s="31" t="s">
        <v>61</v>
      </c>
      <c r="E24" s="32" t="s">
        <v>201</v>
      </c>
      <c r="F24" s="32" t="s">
        <v>154</v>
      </c>
      <c r="G24" s="30">
        <v>500</v>
      </c>
      <c r="H24" s="30" t="s">
        <v>80</v>
      </c>
      <c r="I24" s="30" t="s">
        <v>144</v>
      </c>
      <c r="J24" s="30" t="str">
        <f>IFERROR(VLOOKUP(I24,'Kode Data'!$E$9:$F$13,2,0)&amp;DATEVALUE(A24),"NA")</f>
        <v>NA</v>
      </c>
      <c r="K24" s="30" t="s">
        <v>174</v>
      </c>
      <c r="L24" s="30" t="s">
        <v>139</v>
      </c>
      <c r="M24" s="29">
        <v>45730</v>
      </c>
      <c r="N24" s="37">
        <f t="shared" si="0"/>
        <v>5</v>
      </c>
      <c r="O24" s="5" t="str">
        <f t="shared" si="1"/>
        <v>Terlambat/Cancel</v>
      </c>
    </row>
    <row r="25" spans="1:15" ht="14.5" x14ac:dyDescent="0.35">
      <c r="A25" s="29">
        <v>45728</v>
      </c>
      <c r="B25" s="30" t="s">
        <v>202</v>
      </c>
      <c r="C25" s="30" t="s">
        <v>66</v>
      </c>
      <c r="D25" s="31" t="s">
        <v>67</v>
      </c>
      <c r="E25" s="32" t="s">
        <v>203</v>
      </c>
      <c r="F25" s="32" t="s">
        <v>157</v>
      </c>
      <c r="G25" s="30">
        <v>300</v>
      </c>
      <c r="H25" s="30" t="s">
        <v>80</v>
      </c>
      <c r="I25" s="30" t="s">
        <v>48</v>
      </c>
      <c r="J25" s="30" t="str">
        <f>IFERROR(VLOOKUP(I25,'Kode Data'!$E$9:$F$13,2,0)&amp;DATEVALUE(A25),"NA")</f>
        <v>NA</v>
      </c>
      <c r="K25" s="30" t="s">
        <v>138</v>
      </c>
      <c r="L25" s="30" t="s">
        <v>139</v>
      </c>
      <c r="M25" s="29">
        <v>45736</v>
      </c>
      <c r="N25" s="37">
        <f t="shared" si="0"/>
        <v>8</v>
      </c>
      <c r="O25" s="5" t="str">
        <f t="shared" si="1"/>
        <v>Tepat Waktu</v>
      </c>
    </row>
    <row r="26" spans="1:15" ht="14.5" x14ac:dyDescent="0.35">
      <c r="A26" s="29">
        <v>45730</v>
      </c>
      <c r="B26" s="30" t="s">
        <v>204</v>
      </c>
      <c r="C26" s="30" t="s">
        <v>62</v>
      </c>
      <c r="D26" s="31" t="s">
        <v>63</v>
      </c>
      <c r="E26" s="32" t="s">
        <v>205</v>
      </c>
      <c r="F26" s="32" t="s">
        <v>157</v>
      </c>
      <c r="G26" s="30">
        <v>600</v>
      </c>
      <c r="H26" s="30" t="s">
        <v>80</v>
      </c>
      <c r="I26" s="30" t="s">
        <v>44</v>
      </c>
      <c r="J26" s="30" t="str">
        <f>IFERROR(VLOOKUP(I26,'Kode Data'!$E$9:$F$13,2,0)&amp;DATEVALUE(A26),"NA")</f>
        <v>NA</v>
      </c>
      <c r="K26" s="30" t="s">
        <v>138</v>
      </c>
      <c r="L26" s="30" t="s">
        <v>139</v>
      </c>
      <c r="M26" s="29">
        <v>45738</v>
      </c>
      <c r="N26" s="37">
        <f t="shared" si="0"/>
        <v>8</v>
      </c>
      <c r="O26" s="5" t="str">
        <f t="shared" si="1"/>
        <v>Tepat Waktu</v>
      </c>
    </row>
    <row r="27" spans="1:15" ht="14.5" x14ac:dyDescent="0.35">
      <c r="A27" s="29">
        <v>45734</v>
      </c>
      <c r="B27" s="30" t="s">
        <v>206</v>
      </c>
      <c r="C27" s="30" t="s">
        <v>68</v>
      </c>
      <c r="D27" s="31" t="s">
        <v>69</v>
      </c>
      <c r="E27" s="32" t="s">
        <v>207</v>
      </c>
      <c r="F27" s="32" t="s">
        <v>137</v>
      </c>
      <c r="G27" s="30">
        <v>500</v>
      </c>
      <c r="H27" s="30" t="s">
        <v>80</v>
      </c>
      <c r="I27" s="30" t="s">
        <v>48</v>
      </c>
      <c r="J27" s="30" t="str">
        <f>IFERROR(VLOOKUP(I27,'Kode Data'!$E$9:$F$13,2,0)&amp;DATEVALUE(A27),"NA")</f>
        <v>NA</v>
      </c>
      <c r="K27" s="30" t="s">
        <v>138</v>
      </c>
      <c r="L27" s="30" t="s">
        <v>139</v>
      </c>
      <c r="M27" s="29">
        <v>45744</v>
      </c>
      <c r="N27" s="37">
        <f t="shared" si="0"/>
        <v>10</v>
      </c>
      <c r="O27" s="5" t="str">
        <f t="shared" si="1"/>
        <v>Terlambat/Cancel</v>
      </c>
    </row>
    <row r="28" spans="1:15" ht="14.5" x14ac:dyDescent="0.35">
      <c r="A28" s="29">
        <v>45739</v>
      </c>
      <c r="B28" s="30" t="s">
        <v>208</v>
      </c>
      <c r="C28" s="30" t="s">
        <v>60</v>
      </c>
      <c r="D28" s="31" t="s">
        <v>61</v>
      </c>
      <c r="E28" s="32" t="s">
        <v>209</v>
      </c>
      <c r="F28" s="32" t="s">
        <v>143</v>
      </c>
      <c r="G28" s="30">
        <v>700</v>
      </c>
      <c r="H28" s="30" t="s">
        <v>80</v>
      </c>
      <c r="I28" s="30" t="s">
        <v>144</v>
      </c>
      <c r="J28" s="30" t="str">
        <f>IFERROR(VLOOKUP(I28,'Kode Data'!$E$9:$F$13,2,0)&amp;DATEVALUE(A28),"NA")</f>
        <v>NA</v>
      </c>
      <c r="K28" s="30" t="s">
        <v>161</v>
      </c>
      <c r="L28" s="30" t="s">
        <v>171</v>
      </c>
      <c r="M28" s="30" t="s">
        <v>138</v>
      </c>
      <c r="N28" s="37" t="str">
        <f t="shared" si="0"/>
        <v>NA</v>
      </c>
      <c r="O28" s="5" t="str">
        <f t="shared" si="1"/>
        <v>Terlambat/Cancel</v>
      </c>
    </row>
    <row r="29" spans="1:15" ht="14.5" x14ac:dyDescent="0.35">
      <c r="A29" s="29">
        <v>45739</v>
      </c>
      <c r="B29" s="30" t="s">
        <v>210</v>
      </c>
      <c r="C29" s="30" t="s">
        <v>64</v>
      </c>
      <c r="D29" s="31" t="s">
        <v>65</v>
      </c>
      <c r="E29" s="32" t="s">
        <v>211</v>
      </c>
      <c r="F29" s="32" t="s">
        <v>212</v>
      </c>
      <c r="G29" s="30">
        <v>400</v>
      </c>
      <c r="H29" s="30" t="s">
        <v>80</v>
      </c>
      <c r="I29" s="30" t="s">
        <v>44</v>
      </c>
      <c r="J29" s="30" t="str">
        <f>IFERROR(VLOOKUP(I29,'Kode Data'!$E$9:$F$13,2,0)&amp;DATEVALUE(A29),"NA")</f>
        <v>NA</v>
      </c>
      <c r="K29" s="30" t="s">
        <v>138</v>
      </c>
      <c r="L29" s="30" t="s">
        <v>139</v>
      </c>
      <c r="M29" s="29">
        <v>45753</v>
      </c>
      <c r="N29" s="37">
        <f t="shared" si="0"/>
        <v>14</v>
      </c>
      <c r="O29" s="5" t="str">
        <f t="shared" si="1"/>
        <v>Tepat Waktu</v>
      </c>
    </row>
    <row r="30" spans="1:15" ht="14.5" x14ac:dyDescent="0.35">
      <c r="A30" s="29">
        <v>45742</v>
      </c>
      <c r="B30" s="30" t="s">
        <v>213</v>
      </c>
      <c r="C30" s="30" t="s">
        <v>64</v>
      </c>
      <c r="D30" s="31" t="s">
        <v>65</v>
      </c>
      <c r="E30" s="32" t="s">
        <v>214</v>
      </c>
      <c r="F30" s="32" t="s">
        <v>143</v>
      </c>
      <c r="G30" s="30">
        <v>500</v>
      </c>
      <c r="H30" s="30" t="s">
        <v>80</v>
      </c>
      <c r="I30" s="30" t="s">
        <v>144</v>
      </c>
      <c r="J30" s="30" t="str">
        <f>IFERROR(VLOOKUP(I30,'Kode Data'!$E$9:$F$13,2,0)&amp;DATEVALUE(A30),"NA")</f>
        <v>NA</v>
      </c>
      <c r="K30" s="30" t="s">
        <v>161</v>
      </c>
      <c r="L30" s="30" t="s">
        <v>139</v>
      </c>
      <c r="M30" s="29">
        <v>45743</v>
      </c>
      <c r="N30" s="37">
        <f t="shared" si="0"/>
        <v>1</v>
      </c>
      <c r="O30" s="5" t="str">
        <f t="shared" si="1"/>
        <v>Tepat Waktu</v>
      </c>
    </row>
    <row r="31" spans="1:15" ht="14.5" x14ac:dyDescent="0.35">
      <c r="A31" s="29">
        <v>45745</v>
      </c>
      <c r="B31" s="30" t="s">
        <v>215</v>
      </c>
      <c r="C31" s="30" t="s">
        <v>64</v>
      </c>
      <c r="D31" s="31" t="s">
        <v>65</v>
      </c>
      <c r="E31" s="32" t="s">
        <v>216</v>
      </c>
      <c r="F31" s="32" t="s">
        <v>154</v>
      </c>
      <c r="G31" s="30">
        <v>550</v>
      </c>
      <c r="H31" s="30" t="s">
        <v>80</v>
      </c>
      <c r="I31" s="30" t="s">
        <v>144</v>
      </c>
      <c r="J31" s="30" t="str">
        <f>IFERROR(VLOOKUP(I31,'Kode Data'!$E$9:$F$13,2,0)&amp;DATEVALUE(A31),"NA")</f>
        <v>NA</v>
      </c>
      <c r="K31" s="30" t="s">
        <v>145</v>
      </c>
      <c r="L31" s="30" t="s">
        <v>139</v>
      </c>
      <c r="M31" s="29">
        <v>45748</v>
      </c>
      <c r="N31" s="37">
        <f t="shared" si="0"/>
        <v>3</v>
      </c>
      <c r="O31" s="5" t="str">
        <f t="shared" si="1"/>
        <v>Tepat Waktu</v>
      </c>
    </row>
    <row r="32" spans="1:15" ht="14.5" x14ac:dyDescent="0.35">
      <c r="A32" s="29">
        <v>45746</v>
      </c>
      <c r="B32" s="30" t="s">
        <v>217</v>
      </c>
      <c r="C32" s="30" t="s">
        <v>62</v>
      </c>
      <c r="D32" s="31" t="s">
        <v>63</v>
      </c>
      <c r="E32" s="32" t="s">
        <v>218</v>
      </c>
      <c r="F32" s="32" t="s">
        <v>219</v>
      </c>
      <c r="G32" s="30">
        <v>500</v>
      </c>
      <c r="H32" s="30" t="s">
        <v>80</v>
      </c>
      <c r="I32" s="30" t="s">
        <v>144</v>
      </c>
      <c r="J32" s="30" t="str">
        <f>IFERROR(VLOOKUP(I32,'Kode Data'!$E$9:$F$13,2,0)&amp;DATEVALUE(A32),"NA")</f>
        <v>NA</v>
      </c>
      <c r="K32" s="30" t="s">
        <v>145</v>
      </c>
      <c r="L32" s="30" t="s">
        <v>171</v>
      </c>
      <c r="M32" s="30" t="s">
        <v>138</v>
      </c>
      <c r="N32" s="37" t="str">
        <f t="shared" si="0"/>
        <v>NA</v>
      </c>
      <c r="O32" s="5" t="str">
        <f t="shared" si="1"/>
        <v>Terlambat/Cancel</v>
      </c>
    </row>
    <row r="33" spans="1:15" ht="14.5" x14ac:dyDescent="0.35">
      <c r="A33" s="29">
        <v>45748</v>
      </c>
      <c r="B33" s="30" t="s">
        <v>220</v>
      </c>
      <c r="C33" s="30" t="s">
        <v>64</v>
      </c>
      <c r="D33" s="31" t="s">
        <v>65</v>
      </c>
      <c r="E33" s="32" t="s">
        <v>221</v>
      </c>
      <c r="F33" s="32" t="s">
        <v>149</v>
      </c>
      <c r="G33" s="30">
        <v>500</v>
      </c>
      <c r="H33" s="30" t="s">
        <v>80</v>
      </c>
      <c r="I33" s="30" t="s">
        <v>144</v>
      </c>
      <c r="J33" s="30" t="str">
        <f>IFERROR(VLOOKUP(I33,'Kode Data'!$E$9:$F$13,2,0)&amp;DATEVALUE(A33),"NA")</f>
        <v>NA</v>
      </c>
      <c r="K33" s="30" t="s">
        <v>174</v>
      </c>
      <c r="L33" s="30" t="s">
        <v>139</v>
      </c>
      <c r="M33" s="29">
        <v>45752</v>
      </c>
      <c r="N33" s="37">
        <f t="shared" si="0"/>
        <v>4</v>
      </c>
      <c r="O33" s="5" t="str">
        <f t="shared" si="1"/>
        <v>Tepat Waktu</v>
      </c>
    </row>
    <row r="34" spans="1:15" ht="14.5" x14ac:dyDescent="0.35">
      <c r="A34" s="29">
        <v>45751</v>
      </c>
      <c r="B34" s="30" t="s">
        <v>222</v>
      </c>
      <c r="C34" s="30" t="s">
        <v>64</v>
      </c>
      <c r="D34" s="31" t="s">
        <v>65</v>
      </c>
      <c r="E34" s="32" t="s">
        <v>223</v>
      </c>
      <c r="F34" s="32" t="s">
        <v>149</v>
      </c>
      <c r="G34" s="30">
        <v>550</v>
      </c>
      <c r="H34" s="30" t="s">
        <v>80</v>
      </c>
      <c r="I34" s="30" t="s">
        <v>144</v>
      </c>
      <c r="J34" s="30" t="str">
        <f>IFERROR(VLOOKUP(I34,'Kode Data'!$E$9:$F$13,2,0)&amp;DATEVALUE(A34),"NA")</f>
        <v>NA</v>
      </c>
      <c r="K34" s="30" t="s">
        <v>161</v>
      </c>
      <c r="L34" s="30" t="s">
        <v>139</v>
      </c>
      <c r="M34" s="29">
        <v>45755</v>
      </c>
      <c r="N34" s="37">
        <f t="shared" si="0"/>
        <v>4</v>
      </c>
      <c r="O34" s="5" t="str">
        <f t="shared" si="1"/>
        <v>Tepat Waktu</v>
      </c>
    </row>
    <row r="35" spans="1:15" ht="14.5" x14ac:dyDescent="0.35">
      <c r="A35" s="29">
        <v>45754</v>
      </c>
      <c r="B35" s="30" t="s">
        <v>224</v>
      </c>
      <c r="C35" s="30" t="s">
        <v>64</v>
      </c>
      <c r="D35" s="31" t="s">
        <v>65</v>
      </c>
      <c r="E35" s="32" t="s">
        <v>225</v>
      </c>
      <c r="F35" s="32" t="s">
        <v>219</v>
      </c>
      <c r="G35" s="30">
        <v>500</v>
      </c>
      <c r="H35" s="30" t="s">
        <v>80</v>
      </c>
      <c r="I35" s="30" t="s">
        <v>144</v>
      </c>
      <c r="J35" s="30" t="str">
        <f>IFERROR(VLOOKUP(I35,'Kode Data'!$E$9:$F$13,2,0)&amp;DATEVALUE(A35),"NA")</f>
        <v>NA</v>
      </c>
      <c r="K35" s="30" t="s">
        <v>145</v>
      </c>
      <c r="L35" s="30" t="s">
        <v>139</v>
      </c>
      <c r="M35" s="29">
        <v>45757</v>
      </c>
      <c r="N35" s="37">
        <f t="shared" si="0"/>
        <v>3</v>
      </c>
      <c r="O35" s="5" t="str">
        <f t="shared" si="1"/>
        <v>Terlambat/Cancel</v>
      </c>
    </row>
    <row r="36" spans="1:15" ht="14.5" x14ac:dyDescent="0.35">
      <c r="A36" s="29">
        <v>45756</v>
      </c>
      <c r="B36" s="30" t="s">
        <v>226</v>
      </c>
      <c r="C36" s="30" t="s">
        <v>62</v>
      </c>
      <c r="D36" s="31" t="s">
        <v>63</v>
      </c>
      <c r="E36" s="32" t="s">
        <v>227</v>
      </c>
      <c r="F36" s="32" t="s">
        <v>149</v>
      </c>
      <c r="G36" s="30">
        <v>450</v>
      </c>
      <c r="H36" s="30" t="s">
        <v>80</v>
      </c>
      <c r="I36" s="30" t="s">
        <v>144</v>
      </c>
      <c r="J36" s="30" t="str">
        <f>IFERROR(VLOOKUP(I36,'Kode Data'!$E$9:$F$13,2,0)&amp;DATEVALUE(A36),"NA")</f>
        <v>NA</v>
      </c>
      <c r="K36" s="30" t="s">
        <v>168</v>
      </c>
      <c r="L36" s="30" t="s">
        <v>139</v>
      </c>
      <c r="M36" s="29">
        <v>45760</v>
      </c>
      <c r="N36" s="37">
        <f t="shared" si="0"/>
        <v>4</v>
      </c>
      <c r="O36" s="5" t="str">
        <f t="shared" si="1"/>
        <v>Tepat Waktu</v>
      </c>
    </row>
    <row r="37" spans="1:15" ht="14.5" x14ac:dyDescent="0.35">
      <c r="A37" s="29">
        <v>45757</v>
      </c>
      <c r="B37" s="30" t="s">
        <v>228</v>
      </c>
      <c r="C37" s="30" t="s">
        <v>60</v>
      </c>
      <c r="D37" s="31" t="s">
        <v>61</v>
      </c>
      <c r="E37" s="32" t="s">
        <v>229</v>
      </c>
      <c r="F37" s="32" t="s">
        <v>154</v>
      </c>
      <c r="G37" s="30">
        <v>400</v>
      </c>
      <c r="H37" s="30" t="s">
        <v>80</v>
      </c>
      <c r="I37" s="30" t="s">
        <v>144</v>
      </c>
      <c r="J37" s="30" t="str">
        <f>IFERROR(VLOOKUP(I37,'Kode Data'!$E$9:$F$13,2,0)&amp;DATEVALUE(A37),"NA")</f>
        <v>NA</v>
      </c>
      <c r="K37" s="30" t="s">
        <v>145</v>
      </c>
      <c r="L37" s="30" t="s">
        <v>139</v>
      </c>
      <c r="M37" s="29">
        <v>45760</v>
      </c>
      <c r="N37" s="37">
        <f t="shared" si="0"/>
        <v>3</v>
      </c>
      <c r="O37" s="5" t="str">
        <f t="shared" si="1"/>
        <v>Tepat Waktu</v>
      </c>
    </row>
    <row r="38" spans="1:15" ht="14.5" x14ac:dyDescent="0.35">
      <c r="A38" s="29">
        <v>45757</v>
      </c>
      <c r="B38" s="30" t="s">
        <v>230</v>
      </c>
      <c r="C38" s="30" t="s">
        <v>64</v>
      </c>
      <c r="D38" s="31" t="s">
        <v>65</v>
      </c>
      <c r="E38" s="32" t="s">
        <v>231</v>
      </c>
      <c r="F38" s="32" t="s">
        <v>154</v>
      </c>
      <c r="G38" s="30">
        <v>550</v>
      </c>
      <c r="H38" s="30" t="s">
        <v>80</v>
      </c>
      <c r="I38" s="30" t="s">
        <v>144</v>
      </c>
      <c r="J38" s="30" t="str">
        <f>IFERROR(VLOOKUP(I38,'Kode Data'!$E$9:$F$13,2,0)&amp;DATEVALUE(A38),"NA")</f>
        <v>NA</v>
      </c>
      <c r="K38" s="30" t="s">
        <v>174</v>
      </c>
      <c r="L38" s="30" t="s">
        <v>139</v>
      </c>
      <c r="M38" s="29">
        <v>45760</v>
      </c>
      <c r="N38" s="37">
        <f t="shared" si="0"/>
        <v>3</v>
      </c>
      <c r="O38" s="5" t="str">
        <f t="shared" si="1"/>
        <v>Tepat Waktu</v>
      </c>
    </row>
    <row r="39" spans="1:15" ht="14.5" x14ac:dyDescent="0.35">
      <c r="A39" s="29">
        <v>45760</v>
      </c>
      <c r="B39" s="30" t="s">
        <v>232</v>
      </c>
      <c r="C39" s="30" t="s">
        <v>64</v>
      </c>
      <c r="D39" s="31" t="s">
        <v>65</v>
      </c>
      <c r="E39" s="32" t="s">
        <v>233</v>
      </c>
      <c r="F39" s="32" t="s">
        <v>154</v>
      </c>
      <c r="G39" s="30">
        <v>600</v>
      </c>
      <c r="H39" s="30" t="s">
        <v>80</v>
      </c>
      <c r="I39" s="30" t="s">
        <v>144</v>
      </c>
      <c r="J39" s="30" t="str">
        <f>IFERROR(VLOOKUP(I39,'Kode Data'!$E$9:$F$13,2,0)&amp;DATEVALUE(A39),"NA")</f>
        <v>NA</v>
      </c>
      <c r="K39" s="30" t="s">
        <v>168</v>
      </c>
      <c r="L39" s="30" t="s">
        <v>139</v>
      </c>
      <c r="M39" s="29">
        <v>45763</v>
      </c>
      <c r="N39" s="37">
        <f t="shared" si="0"/>
        <v>3</v>
      </c>
      <c r="O39" s="5" t="str">
        <f t="shared" si="1"/>
        <v>Tepat Waktu</v>
      </c>
    </row>
    <row r="40" spans="1:15" ht="14.5" x14ac:dyDescent="0.35">
      <c r="A40" s="29">
        <v>45764</v>
      </c>
      <c r="B40" s="30" t="s">
        <v>234</v>
      </c>
      <c r="C40" s="30" t="s">
        <v>66</v>
      </c>
      <c r="D40" s="31" t="s">
        <v>67</v>
      </c>
      <c r="E40" s="32" t="s">
        <v>235</v>
      </c>
      <c r="F40" s="32" t="s">
        <v>193</v>
      </c>
      <c r="G40" s="30">
        <v>400</v>
      </c>
      <c r="H40" s="30" t="s">
        <v>80</v>
      </c>
      <c r="I40" s="30" t="s">
        <v>158</v>
      </c>
      <c r="J40" s="30" t="str">
        <f>IFERROR(VLOOKUP(I40,'Kode Data'!$E$9:$F$13,2,0)&amp;DATEVALUE(A40),"NA")</f>
        <v>NA</v>
      </c>
      <c r="K40" s="30" t="s">
        <v>138</v>
      </c>
      <c r="L40" s="30" t="s">
        <v>139</v>
      </c>
      <c r="M40" s="29">
        <v>45772</v>
      </c>
      <c r="N40" s="37">
        <f t="shared" si="0"/>
        <v>8</v>
      </c>
      <c r="O40" s="5" t="str">
        <f t="shared" si="1"/>
        <v>Tepat Waktu</v>
      </c>
    </row>
    <row r="41" spans="1:15" ht="14.5" x14ac:dyDescent="0.35">
      <c r="A41" s="29">
        <v>45768</v>
      </c>
      <c r="B41" s="30" t="s">
        <v>236</v>
      </c>
      <c r="C41" s="30" t="s">
        <v>68</v>
      </c>
      <c r="D41" s="31" t="s">
        <v>69</v>
      </c>
      <c r="E41" s="32" t="s">
        <v>237</v>
      </c>
      <c r="F41" s="32" t="s">
        <v>157</v>
      </c>
      <c r="G41" s="30">
        <v>450</v>
      </c>
      <c r="H41" s="30" t="s">
        <v>80</v>
      </c>
      <c r="I41" s="30" t="s">
        <v>158</v>
      </c>
      <c r="J41" s="30" t="str">
        <f>IFERROR(VLOOKUP(I41,'Kode Data'!$E$9:$F$13,2,0)&amp;DATEVALUE(A41),"NA")</f>
        <v>NA</v>
      </c>
      <c r="K41" s="30" t="s">
        <v>138</v>
      </c>
      <c r="L41" s="30" t="s">
        <v>171</v>
      </c>
      <c r="M41" s="30" t="s">
        <v>138</v>
      </c>
      <c r="N41" s="37" t="str">
        <f t="shared" si="0"/>
        <v>NA</v>
      </c>
      <c r="O41" s="5" t="str">
        <f t="shared" si="1"/>
        <v>Terlambat/Cancel</v>
      </c>
    </row>
    <row r="42" spans="1:15" ht="14.5" x14ac:dyDescent="0.35">
      <c r="A42" s="29">
        <v>45771</v>
      </c>
      <c r="B42" s="30" t="s">
        <v>238</v>
      </c>
      <c r="C42" s="30" t="s">
        <v>68</v>
      </c>
      <c r="D42" s="31" t="s">
        <v>69</v>
      </c>
      <c r="E42" s="32" t="s">
        <v>239</v>
      </c>
      <c r="F42" s="32" t="s">
        <v>193</v>
      </c>
      <c r="G42" s="30">
        <v>400</v>
      </c>
      <c r="H42" s="30" t="s">
        <v>80</v>
      </c>
      <c r="I42" s="30" t="s">
        <v>44</v>
      </c>
      <c r="J42" s="30" t="str">
        <f>IFERROR(VLOOKUP(I42,'Kode Data'!$E$9:$F$13,2,0)&amp;DATEVALUE(A42),"NA")</f>
        <v>NA</v>
      </c>
      <c r="K42" s="30" t="s">
        <v>138</v>
      </c>
      <c r="L42" s="30" t="s">
        <v>171</v>
      </c>
      <c r="M42" s="30" t="s">
        <v>138</v>
      </c>
      <c r="N42" s="37" t="str">
        <f t="shared" si="0"/>
        <v>NA</v>
      </c>
      <c r="O42" s="5" t="str">
        <f t="shared" si="1"/>
        <v>Terlambat/Cancel</v>
      </c>
    </row>
    <row r="43" spans="1:15" ht="14.5" x14ac:dyDescent="0.35">
      <c r="A43" s="29">
        <v>45775</v>
      </c>
      <c r="B43" s="30" t="s">
        <v>240</v>
      </c>
      <c r="C43" s="30" t="s">
        <v>60</v>
      </c>
      <c r="D43" s="31" t="s">
        <v>61</v>
      </c>
      <c r="E43" s="32" t="s">
        <v>241</v>
      </c>
      <c r="F43" s="32" t="s">
        <v>149</v>
      </c>
      <c r="G43" s="30">
        <v>500</v>
      </c>
      <c r="H43" s="30" t="s">
        <v>80</v>
      </c>
      <c r="I43" s="30" t="s">
        <v>144</v>
      </c>
      <c r="J43" s="30" t="str">
        <f>IFERROR(VLOOKUP(I43,'Kode Data'!$E$9:$F$13,2,0)&amp;DATEVALUE(A43),"NA")</f>
        <v>NA</v>
      </c>
      <c r="K43" s="30" t="s">
        <v>161</v>
      </c>
      <c r="L43" s="30" t="s">
        <v>139</v>
      </c>
      <c r="M43" s="29">
        <v>45779</v>
      </c>
      <c r="N43" s="37">
        <f t="shared" si="0"/>
        <v>4</v>
      </c>
      <c r="O43" s="5" t="str">
        <f t="shared" si="1"/>
        <v>Tepat Waktu</v>
      </c>
    </row>
    <row r="44" spans="1:15" ht="14.5" x14ac:dyDescent="0.35">
      <c r="A44" s="29">
        <v>45775</v>
      </c>
      <c r="B44" s="30" t="s">
        <v>242</v>
      </c>
      <c r="C44" s="30" t="s">
        <v>62</v>
      </c>
      <c r="D44" s="31" t="s">
        <v>63</v>
      </c>
      <c r="E44" s="32" t="s">
        <v>243</v>
      </c>
      <c r="F44" s="32" t="s">
        <v>143</v>
      </c>
      <c r="G44" s="30">
        <v>400</v>
      </c>
      <c r="H44" s="30" t="s">
        <v>80</v>
      </c>
      <c r="I44" s="30" t="s">
        <v>144</v>
      </c>
      <c r="J44" s="30" t="str">
        <f>IFERROR(VLOOKUP(I44,'Kode Data'!$E$9:$F$13,2,0)&amp;DATEVALUE(A44),"NA")</f>
        <v>NA</v>
      </c>
      <c r="K44" s="30" t="s">
        <v>150</v>
      </c>
      <c r="L44" s="30" t="s">
        <v>139</v>
      </c>
      <c r="M44" s="29">
        <v>45776</v>
      </c>
      <c r="N44" s="37">
        <f t="shared" si="0"/>
        <v>1</v>
      </c>
      <c r="O44" s="5" t="str">
        <f t="shared" si="1"/>
        <v>Tepat Waktu</v>
      </c>
    </row>
    <row r="45" spans="1:15" ht="14.5" x14ac:dyDescent="0.35">
      <c r="A45" s="29">
        <v>45790</v>
      </c>
      <c r="B45" s="30" t="s">
        <v>244</v>
      </c>
      <c r="C45" s="30" t="s">
        <v>60</v>
      </c>
      <c r="D45" s="31" t="s">
        <v>61</v>
      </c>
      <c r="E45" s="32" t="s">
        <v>245</v>
      </c>
      <c r="F45" s="32" t="s">
        <v>137</v>
      </c>
      <c r="G45" s="30">
        <v>600</v>
      </c>
      <c r="H45" s="30" t="s">
        <v>80</v>
      </c>
      <c r="I45" s="30" t="s">
        <v>158</v>
      </c>
      <c r="J45" s="30" t="str">
        <f>IFERROR(VLOOKUP(I45,'Kode Data'!$E$9:$F$13,2,0)&amp;DATEVALUE(A45),"NA")</f>
        <v>NA</v>
      </c>
      <c r="K45" s="30" t="s">
        <v>138</v>
      </c>
      <c r="L45" s="30" t="s">
        <v>139</v>
      </c>
      <c r="M45" s="29">
        <v>45798</v>
      </c>
      <c r="N45" s="37">
        <f t="shared" si="0"/>
        <v>8</v>
      </c>
      <c r="O45" s="5" t="str">
        <f t="shared" si="1"/>
        <v>Tepat Waktu</v>
      </c>
    </row>
    <row r="46" spans="1:15" ht="14.5" x14ac:dyDescent="0.35">
      <c r="A46" s="29">
        <v>45790</v>
      </c>
      <c r="B46" s="30" t="s">
        <v>246</v>
      </c>
      <c r="C46" s="30" t="s">
        <v>62</v>
      </c>
      <c r="D46" s="31" t="s">
        <v>63</v>
      </c>
      <c r="E46" s="32" t="s">
        <v>247</v>
      </c>
      <c r="F46" s="32" t="s">
        <v>154</v>
      </c>
      <c r="G46" s="30">
        <v>600</v>
      </c>
      <c r="H46" s="30" t="s">
        <v>80</v>
      </c>
      <c r="I46" s="30" t="s">
        <v>144</v>
      </c>
      <c r="J46" s="30" t="str">
        <f>IFERROR(VLOOKUP(I46,'Kode Data'!$E$9:$F$13,2,0)&amp;DATEVALUE(A46),"NA")</f>
        <v>NA</v>
      </c>
      <c r="K46" s="30" t="s">
        <v>161</v>
      </c>
      <c r="L46" s="30" t="s">
        <v>139</v>
      </c>
      <c r="M46" s="29">
        <v>45793</v>
      </c>
      <c r="N46" s="37">
        <f t="shared" si="0"/>
        <v>3</v>
      </c>
      <c r="O46" s="5" t="str">
        <f t="shared" si="1"/>
        <v>Tepat Waktu</v>
      </c>
    </row>
    <row r="47" spans="1:15" ht="14.5" x14ac:dyDescent="0.35">
      <c r="A47" s="29">
        <v>45793</v>
      </c>
      <c r="B47" s="30" t="s">
        <v>248</v>
      </c>
      <c r="C47" s="30" t="s">
        <v>64</v>
      </c>
      <c r="D47" s="31" t="s">
        <v>65</v>
      </c>
      <c r="E47" s="32" t="s">
        <v>249</v>
      </c>
      <c r="F47" s="32" t="s">
        <v>164</v>
      </c>
      <c r="G47" s="30">
        <v>650</v>
      </c>
      <c r="H47" s="30" t="s">
        <v>80</v>
      </c>
      <c r="I47" s="30" t="s">
        <v>44</v>
      </c>
      <c r="J47" s="30" t="str">
        <f>IFERROR(VLOOKUP(I47,'Kode Data'!$E$9:$F$13,2,0)&amp;DATEVALUE(A47),"NA")</f>
        <v>NA</v>
      </c>
      <c r="K47" s="30" t="s">
        <v>138</v>
      </c>
      <c r="L47" s="30" t="s">
        <v>139</v>
      </c>
      <c r="M47" s="29">
        <v>45798</v>
      </c>
      <c r="N47" s="37">
        <f t="shared" si="0"/>
        <v>5</v>
      </c>
      <c r="O47" s="5" t="str">
        <f t="shared" si="1"/>
        <v>Tepat Waktu</v>
      </c>
    </row>
    <row r="48" spans="1:15" ht="14.5" x14ac:dyDescent="0.35">
      <c r="A48" s="29">
        <v>45796</v>
      </c>
      <c r="B48" s="30" t="s">
        <v>250</v>
      </c>
      <c r="C48" s="30" t="s">
        <v>64</v>
      </c>
      <c r="D48" s="31" t="s">
        <v>65</v>
      </c>
      <c r="E48" s="32" t="s">
        <v>251</v>
      </c>
      <c r="F48" s="32" t="s">
        <v>219</v>
      </c>
      <c r="G48" s="30">
        <v>550</v>
      </c>
      <c r="H48" s="30" t="s">
        <v>80</v>
      </c>
      <c r="I48" s="30" t="s">
        <v>144</v>
      </c>
      <c r="J48" s="30" t="str">
        <f>IFERROR(VLOOKUP(I48,'Kode Data'!$E$9:$F$13,2,0)&amp;DATEVALUE(A48),"NA")</f>
        <v>NA</v>
      </c>
      <c r="K48" s="30" t="s">
        <v>145</v>
      </c>
      <c r="L48" s="30" t="s">
        <v>171</v>
      </c>
      <c r="M48" s="30" t="s">
        <v>138</v>
      </c>
      <c r="N48" s="37" t="str">
        <f t="shared" si="0"/>
        <v>NA</v>
      </c>
      <c r="O48" s="5" t="str">
        <f t="shared" si="1"/>
        <v>Terlambat/Cancel</v>
      </c>
    </row>
    <row r="49" spans="1:15" ht="14.5" x14ac:dyDescent="0.35">
      <c r="A49" s="29">
        <v>45797</v>
      </c>
      <c r="B49" s="30" t="s">
        <v>252</v>
      </c>
      <c r="C49" s="30" t="s">
        <v>66</v>
      </c>
      <c r="D49" s="31" t="s">
        <v>67</v>
      </c>
      <c r="E49" s="32" t="s">
        <v>253</v>
      </c>
      <c r="F49" s="32" t="s">
        <v>154</v>
      </c>
      <c r="G49" s="30">
        <v>350</v>
      </c>
      <c r="H49" s="30" t="s">
        <v>80</v>
      </c>
      <c r="I49" s="30" t="s">
        <v>144</v>
      </c>
      <c r="J49" s="30" t="str">
        <f>IFERROR(VLOOKUP(I49,'Kode Data'!$E$9:$F$13,2,0)&amp;DATEVALUE(A49),"NA")</f>
        <v>NA</v>
      </c>
      <c r="K49" s="30" t="s">
        <v>174</v>
      </c>
      <c r="L49" s="30" t="s">
        <v>139</v>
      </c>
      <c r="M49" s="29">
        <v>45800</v>
      </c>
      <c r="N49" s="37">
        <f t="shared" si="0"/>
        <v>3</v>
      </c>
      <c r="O49" s="5" t="str">
        <f t="shared" si="1"/>
        <v>Tepat Waktu</v>
      </c>
    </row>
    <row r="50" spans="1:15" ht="14.5" x14ac:dyDescent="0.35">
      <c r="A50" s="29">
        <v>45798</v>
      </c>
      <c r="B50" s="30" t="s">
        <v>254</v>
      </c>
      <c r="C50" s="30" t="s">
        <v>64</v>
      </c>
      <c r="D50" s="31" t="s">
        <v>65</v>
      </c>
      <c r="E50" s="32" t="s">
        <v>255</v>
      </c>
      <c r="F50" s="32" t="s">
        <v>167</v>
      </c>
      <c r="G50" s="30">
        <v>600</v>
      </c>
      <c r="H50" s="30" t="s">
        <v>80</v>
      </c>
      <c r="I50" s="30" t="s">
        <v>144</v>
      </c>
      <c r="J50" s="30" t="str">
        <f>IFERROR(VLOOKUP(I50,'Kode Data'!$E$9:$F$13,2,0)&amp;DATEVALUE(A50),"NA")</f>
        <v>NA</v>
      </c>
      <c r="K50" s="30" t="s">
        <v>145</v>
      </c>
      <c r="L50" s="30" t="s">
        <v>139</v>
      </c>
      <c r="M50" s="29">
        <v>45804</v>
      </c>
      <c r="N50" s="37">
        <f t="shared" si="0"/>
        <v>6</v>
      </c>
      <c r="O50" s="5" t="str">
        <f t="shared" si="1"/>
        <v>Terlambat/Cancel</v>
      </c>
    </row>
    <row r="51" spans="1:15" ht="14.5" x14ac:dyDescent="0.35">
      <c r="A51" s="29">
        <v>45804</v>
      </c>
      <c r="B51" s="30" t="s">
        <v>256</v>
      </c>
      <c r="C51" s="30" t="s">
        <v>68</v>
      </c>
      <c r="D51" s="31" t="s">
        <v>69</v>
      </c>
      <c r="E51" s="32" t="s">
        <v>257</v>
      </c>
      <c r="F51" s="32" t="s">
        <v>154</v>
      </c>
      <c r="G51" s="30">
        <v>500</v>
      </c>
      <c r="H51" s="30" t="s">
        <v>80</v>
      </c>
      <c r="I51" s="30" t="s">
        <v>144</v>
      </c>
      <c r="J51" s="30" t="str">
        <f>IFERROR(VLOOKUP(I51,'Kode Data'!$E$9:$F$13,2,0)&amp;DATEVALUE(A51),"NA")</f>
        <v>NA</v>
      </c>
      <c r="K51" s="30" t="s">
        <v>145</v>
      </c>
      <c r="L51" s="30" t="s">
        <v>139</v>
      </c>
      <c r="M51" s="29">
        <v>45807</v>
      </c>
      <c r="N51" s="37">
        <f t="shared" si="0"/>
        <v>3</v>
      </c>
      <c r="O51" s="5" t="str">
        <f t="shared" si="1"/>
        <v>Tepat Waktu</v>
      </c>
    </row>
    <row r="52" spans="1:15" ht="14.5" x14ac:dyDescent="0.35">
      <c r="A52" s="29">
        <v>45806</v>
      </c>
      <c r="B52" s="30" t="s">
        <v>258</v>
      </c>
      <c r="C52" s="30" t="s">
        <v>62</v>
      </c>
      <c r="D52" s="31" t="s">
        <v>63</v>
      </c>
      <c r="E52" s="32" t="s">
        <v>259</v>
      </c>
      <c r="F52" s="32" t="s">
        <v>154</v>
      </c>
      <c r="G52" s="30">
        <v>500</v>
      </c>
      <c r="H52" s="30" t="s">
        <v>80</v>
      </c>
      <c r="I52" s="30" t="s">
        <v>144</v>
      </c>
      <c r="J52" s="30" t="str">
        <f>IFERROR(VLOOKUP(I52,'Kode Data'!$E$9:$F$13,2,0)&amp;DATEVALUE(A52),"NA")</f>
        <v>NA</v>
      </c>
      <c r="K52" s="30" t="s">
        <v>161</v>
      </c>
      <c r="L52" s="30" t="s">
        <v>139</v>
      </c>
      <c r="M52" s="29">
        <v>45809</v>
      </c>
      <c r="N52" s="37">
        <f t="shared" si="0"/>
        <v>3</v>
      </c>
      <c r="O52" s="5" t="str">
        <f t="shared" si="1"/>
        <v>Tepat Waktu</v>
      </c>
    </row>
    <row r="53" spans="1:15" ht="14.5" x14ac:dyDescent="0.35">
      <c r="A53" s="29">
        <v>45807</v>
      </c>
      <c r="B53" s="30" t="s">
        <v>260</v>
      </c>
      <c r="C53" s="30" t="s">
        <v>60</v>
      </c>
      <c r="D53" s="31" t="s">
        <v>61</v>
      </c>
      <c r="E53" s="32" t="s">
        <v>261</v>
      </c>
      <c r="F53" s="32" t="s">
        <v>154</v>
      </c>
      <c r="G53" s="30">
        <v>700</v>
      </c>
      <c r="H53" s="30" t="s">
        <v>80</v>
      </c>
      <c r="I53" s="30" t="s">
        <v>144</v>
      </c>
      <c r="J53" s="30" t="str">
        <f>IFERROR(VLOOKUP(I53,'Kode Data'!$E$9:$F$13,2,0)&amp;DATEVALUE(A53),"NA")</f>
        <v>NA</v>
      </c>
      <c r="K53" s="30" t="s">
        <v>168</v>
      </c>
      <c r="L53" s="30" t="s">
        <v>139</v>
      </c>
      <c r="M53" s="29">
        <v>45810</v>
      </c>
      <c r="N53" s="37">
        <f t="shared" si="0"/>
        <v>3</v>
      </c>
      <c r="O53" s="5" t="str">
        <f t="shared" si="1"/>
        <v>Tepat Waktu</v>
      </c>
    </row>
    <row r="54" spans="1:15" ht="14.5" x14ac:dyDescent="0.35">
      <c r="A54" s="29">
        <v>45820</v>
      </c>
      <c r="B54" s="30" t="s">
        <v>262</v>
      </c>
      <c r="C54" s="30" t="s">
        <v>62</v>
      </c>
      <c r="D54" s="31" t="s">
        <v>63</v>
      </c>
      <c r="E54" s="32" t="s">
        <v>263</v>
      </c>
      <c r="F54" s="32" t="s">
        <v>157</v>
      </c>
      <c r="G54" s="30">
        <v>700</v>
      </c>
      <c r="H54" s="30" t="s">
        <v>80</v>
      </c>
      <c r="I54" s="30" t="s">
        <v>48</v>
      </c>
      <c r="J54" s="30" t="str">
        <f>IFERROR(VLOOKUP(I54,'Kode Data'!$E$9:$F$13,2,0)&amp;DATEVALUE(A54),"NA")</f>
        <v>NA</v>
      </c>
      <c r="K54" s="30" t="s">
        <v>138</v>
      </c>
      <c r="L54" s="30" t="s">
        <v>139</v>
      </c>
      <c r="M54" s="29">
        <v>45828</v>
      </c>
      <c r="N54" s="37">
        <f t="shared" si="0"/>
        <v>8</v>
      </c>
      <c r="O54" s="5" t="str">
        <f t="shared" si="1"/>
        <v>Tepat Waktu</v>
      </c>
    </row>
    <row r="55" spans="1:15" ht="14.5" x14ac:dyDescent="0.35">
      <c r="A55" s="29">
        <v>45822</v>
      </c>
      <c r="B55" s="30" t="s">
        <v>264</v>
      </c>
      <c r="C55" s="30" t="s">
        <v>60</v>
      </c>
      <c r="D55" s="31" t="s">
        <v>61</v>
      </c>
      <c r="E55" s="32" t="s">
        <v>265</v>
      </c>
      <c r="F55" s="32" t="s">
        <v>143</v>
      </c>
      <c r="G55" s="30">
        <v>500</v>
      </c>
      <c r="H55" s="30" t="s">
        <v>80</v>
      </c>
      <c r="I55" s="30" t="s">
        <v>144</v>
      </c>
      <c r="J55" s="30" t="str">
        <f>IFERROR(VLOOKUP(I55,'Kode Data'!$E$9:$F$13,2,0)&amp;DATEVALUE(A55),"NA")</f>
        <v>NA</v>
      </c>
      <c r="K55" s="30" t="s">
        <v>168</v>
      </c>
      <c r="L55" s="30" t="s">
        <v>139</v>
      </c>
      <c r="M55" s="29">
        <v>45823</v>
      </c>
      <c r="N55" s="37">
        <f t="shared" si="0"/>
        <v>1</v>
      </c>
      <c r="O55" s="5" t="str">
        <f t="shared" si="1"/>
        <v>Tepat Waktu</v>
      </c>
    </row>
    <row r="56" spans="1:15" ht="14.5" x14ac:dyDescent="0.35">
      <c r="A56" s="29">
        <v>45832</v>
      </c>
      <c r="B56" s="30" t="s">
        <v>266</v>
      </c>
      <c r="C56" s="30" t="s">
        <v>64</v>
      </c>
      <c r="D56" s="31" t="s">
        <v>65</v>
      </c>
      <c r="E56" s="32" t="s">
        <v>267</v>
      </c>
      <c r="F56" s="32" t="s">
        <v>193</v>
      </c>
      <c r="G56" s="30">
        <v>650</v>
      </c>
      <c r="H56" s="30" t="s">
        <v>80</v>
      </c>
      <c r="I56" s="30" t="s">
        <v>40</v>
      </c>
      <c r="J56" s="30" t="str">
        <f>IFERROR(VLOOKUP(I56,'Kode Data'!$E$9:$F$13,2,0)&amp;DATEVALUE(A56),"NA")</f>
        <v>NA</v>
      </c>
      <c r="K56" s="30" t="s">
        <v>138</v>
      </c>
      <c r="L56" s="30" t="s">
        <v>139</v>
      </c>
      <c r="M56" s="29">
        <v>45840</v>
      </c>
      <c r="N56" s="37">
        <f t="shared" si="0"/>
        <v>8</v>
      </c>
      <c r="O56" s="5" t="str">
        <f t="shared" si="1"/>
        <v>Tepat Waktu</v>
      </c>
    </row>
    <row r="57" spans="1:15" ht="14.5" x14ac:dyDescent="0.35">
      <c r="A57" s="29">
        <v>45833</v>
      </c>
      <c r="B57" s="30" t="s">
        <v>268</v>
      </c>
      <c r="C57" s="30" t="s">
        <v>66</v>
      </c>
      <c r="D57" s="31" t="s">
        <v>67</v>
      </c>
      <c r="E57" s="32" t="s">
        <v>269</v>
      </c>
      <c r="F57" s="32" t="s">
        <v>154</v>
      </c>
      <c r="G57" s="30">
        <v>450</v>
      </c>
      <c r="H57" s="30" t="s">
        <v>80</v>
      </c>
      <c r="I57" s="30" t="s">
        <v>144</v>
      </c>
      <c r="J57" s="30" t="str">
        <f>IFERROR(VLOOKUP(I57,'Kode Data'!$E$9:$F$13,2,0)&amp;DATEVALUE(A57),"NA")</f>
        <v>NA</v>
      </c>
      <c r="K57" s="30" t="s">
        <v>145</v>
      </c>
      <c r="L57" s="30" t="s">
        <v>139</v>
      </c>
      <c r="M57" s="29">
        <v>45836</v>
      </c>
      <c r="N57" s="37">
        <f t="shared" si="0"/>
        <v>3</v>
      </c>
      <c r="O57" s="5" t="str">
        <f t="shared" si="1"/>
        <v>Tepat Waktu</v>
      </c>
    </row>
    <row r="58" spans="1:15" ht="14.5" x14ac:dyDescent="0.35">
      <c r="A58" s="29">
        <v>45834</v>
      </c>
      <c r="B58" s="30" t="s">
        <v>270</v>
      </c>
      <c r="C58" s="30" t="s">
        <v>64</v>
      </c>
      <c r="D58" s="31" t="s">
        <v>65</v>
      </c>
      <c r="E58" s="32" t="s">
        <v>271</v>
      </c>
      <c r="F58" s="32" t="s">
        <v>149</v>
      </c>
      <c r="G58" s="30">
        <v>550</v>
      </c>
      <c r="H58" s="30" t="s">
        <v>80</v>
      </c>
      <c r="I58" s="30" t="s">
        <v>144</v>
      </c>
      <c r="J58" s="30" t="str">
        <f>IFERROR(VLOOKUP(I58,'Kode Data'!$E$9:$F$13,2,0)&amp;DATEVALUE(A58),"NA")</f>
        <v>NA</v>
      </c>
      <c r="K58" s="30" t="s">
        <v>150</v>
      </c>
      <c r="L58" s="30" t="s">
        <v>139</v>
      </c>
      <c r="M58" s="29">
        <v>45838</v>
      </c>
      <c r="N58" s="37">
        <f t="shared" si="0"/>
        <v>4</v>
      </c>
      <c r="O58" s="5" t="str">
        <f t="shared" si="1"/>
        <v>Tepat Waktu</v>
      </c>
    </row>
    <row r="59" spans="1:15" ht="14.5" x14ac:dyDescent="0.35">
      <c r="A59" s="29">
        <v>45835</v>
      </c>
      <c r="B59" s="30" t="s">
        <v>272</v>
      </c>
      <c r="C59" s="30" t="s">
        <v>62</v>
      </c>
      <c r="D59" s="31" t="s">
        <v>63</v>
      </c>
      <c r="E59" s="32" t="s">
        <v>273</v>
      </c>
      <c r="F59" s="32" t="s">
        <v>193</v>
      </c>
      <c r="G59" s="30">
        <v>600</v>
      </c>
      <c r="H59" s="30" t="s">
        <v>80</v>
      </c>
      <c r="I59" s="30" t="s">
        <v>158</v>
      </c>
      <c r="J59" s="30" t="str">
        <f>IFERROR(VLOOKUP(I59,'Kode Data'!$E$9:$F$13,2,0)&amp;DATEVALUE(A59),"NA")</f>
        <v>NA</v>
      </c>
      <c r="K59" s="30" t="s">
        <v>138</v>
      </c>
      <c r="L59" s="30" t="s">
        <v>139</v>
      </c>
      <c r="M59" s="29">
        <v>45843</v>
      </c>
      <c r="N59" s="37">
        <f t="shared" si="0"/>
        <v>8</v>
      </c>
      <c r="O59" s="5" t="str">
        <f t="shared" si="1"/>
        <v>Tepat Waktu</v>
      </c>
    </row>
    <row r="60" spans="1:15" ht="14.5" x14ac:dyDescent="0.35">
      <c r="A60" s="29">
        <v>45837</v>
      </c>
      <c r="B60" s="30" t="s">
        <v>274</v>
      </c>
      <c r="C60" s="30" t="s">
        <v>60</v>
      </c>
      <c r="D60" s="31" t="s">
        <v>61</v>
      </c>
      <c r="E60" s="32" t="s">
        <v>275</v>
      </c>
      <c r="F60" s="32" t="s">
        <v>164</v>
      </c>
      <c r="G60" s="30">
        <v>600</v>
      </c>
      <c r="H60" s="30" t="s">
        <v>80</v>
      </c>
      <c r="I60" s="30" t="s">
        <v>158</v>
      </c>
      <c r="J60" s="30" t="str">
        <f>IFERROR(VLOOKUP(I60,'Kode Data'!$E$9:$F$13,2,0)&amp;DATEVALUE(A60),"NA")</f>
        <v>NA</v>
      </c>
      <c r="K60" s="30" t="s">
        <v>138</v>
      </c>
      <c r="L60" s="30" t="s">
        <v>171</v>
      </c>
      <c r="M60" s="30" t="s">
        <v>138</v>
      </c>
      <c r="N60" s="37" t="str">
        <f t="shared" si="0"/>
        <v>NA</v>
      </c>
      <c r="O60" s="5" t="str">
        <f t="shared" si="1"/>
        <v>Terlambat/Cancel</v>
      </c>
    </row>
    <row r="61" spans="1:15" ht="14.5" x14ac:dyDescent="0.35">
      <c r="A61" s="29">
        <v>45837</v>
      </c>
      <c r="B61" s="30" t="s">
        <v>276</v>
      </c>
      <c r="C61" s="30" t="s">
        <v>64</v>
      </c>
      <c r="D61" s="31" t="s">
        <v>65</v>
      </c>
      <c r="E61" s="32" t="s">
        <v>277</v>
      </c>
      <c r="F61" s="32" t="s">
        <v>149</v>
      </c>
      <c r="G61" s="30">
        <v>600</v>
      </c>
      <c r="H61" s="30" t="s">
        <v>80</v>
      </c>
      <c r="I61" s="30" t="s">
        <v>144</v>
      </c>
      <c r="J61" s="30" t="str">
        <f>IFERROR(VLOOKUP(I61,'Kode Data'!$E$9:$F$13,2,0)&amp;DATEVALUE(A61),"NA")</f>
        <v>NA</v>
      </c>
      <c r="K61" s="30" t="s">
        <v>161</v>
      </c>
      <c r="L61" s="30" t="s">
        <v>171</v>
      </c>
      <c r="M61" s="30" t="s">
        <v>138</v>
      </c>
      <c r="N61" s="37" t="str">
        <f t="shared" si="0"/>
        <v>NA</v>
      </c>
      <c r="O61" s="5" t="str">
        <f t="shared" si="1"/>
        <v>Terlambat/Cancel</v>
      </c>
    </row>
    <row r="62" spans="1:15" ht="14.5" x14ac:dyDescent="0.35">
      <c r="A62" s="29">
        <v>45838</v>
      </c>
      <c r="B62" s="30" t="s">
        <v>278</v>
      </c>
      <c r="C62" s="30" t="s">
        <v>68</v>
      </c>
      <c r="D62" s="31" t="s">
        <v>69</v>
      </c>
      <c r="E62" s="32" t="s">
        <v>279</v>
      </c>
      <c r="F62" s="32" t="s">
        <v>154</v>
      </c>
      <c r="G62" s="30">
        <v>450</v>
      </c>
      <c r="H62" s="30" t="s">
        <v>80</v>
      </c>
      <c r="I62" s="30" t="s">
        <v>144</v>
      </c>
      <c r="J62" s="30" t="str">
        <f>IFERROR(VLOOKUP(I62,'Kode Data'!$E$9:$F$13,2,0)&amp;DATEVALUE(A62),"NA")</f>
        <v>NA</v>
      </c>
      <c r="K62" s="30" t="s">
        <v>168</v>
      </c>
      <c r="L62" s="30" t="s">
        <v>139</v>
      </c>
      <c r="M62" s="29">
        <v>45842</v>
      </c>
      <c r="N62" s="37">
        <f t="shared" si="0"/>
        <v>4</v>
      </c>
      <c r="O62" s="5" t="str">
        <f t="shared" si="1"/>
        <v>Terlambat/Cancel</v>
      </c>
    </row>
    <row r="63" spans="1:15" ht="14.5" x14ac:dyDescent="0.35">
      <c r="A63" s="29">
        <v>45840</v>
      </c>
      <c r="B63" s="30" t="s">
        <v>280</v>
      </c>
      <c r="C63" s="30" t="s">
        <v>64</v>
      </c>
      <c r="D63" s="31" t="s">
        <v>65</v>
      </c>
      <c r="E63" s="32" t="s">
        <v>281</v>
      </c>
      <c r="F63" s="32" t="s">
        <v>157</v>
      </c>
      <c r="G63" s="30">
        <v>650</v>
      </c>
      <c r="H63" s="30" t="s">
        <v>80</v>
      </c>
      <c r="I63" s="30" t="s">
        <v>158</v>
      </c>
      <c r="J63" s="30" t="str">
        <f>IFERROR(VLOOKUP(I63,'Kode Data'!$E$9:$F$13,2,0)&amp;DATEVALUE(A63),"NA")</f>
        <v>NA</v>
      </c>
      <c r="K63" s="30" t="s">
        <v>138</v>
      </c>
      <c r="L63" s="30" t="s">
        <v>139</v>
      </c>
      <c r="M63" s="29">
        <v>45848</v>
      </c>
      <c r="N63" s="37">
        <f t="shared" si="0"/>
        <v>8</v>
      </c>
      <c r="O63" s="5" t="str">
        <f t="shared" si="1"/>
        <v>Tepat Waktu</v>
      </c>
    </row>
    <row r="64" spans="1:15" ht="14.5" x14ac:dyDescent="0.35">
      <c r="A64" s="29">
        <v>45840</v>
      </c>
      <c r="B64" s="30" t="s">
        <v>282</v>
      </c>
      <c r="C64" s="30" t="s">
        <v>68</v>
      </c>
      <c r="D64" s="31" t="s">
        <v>69</v>
      </c>
      <c r="E64" s="32" t="s">
        <v>283</v>
      </c>
      <c r="F64" s="32" t="s">
        <v>219</v>
      </c>
      <c r="G64" s="30">
        <v>500</v>
      </c>
      <c r="H64" s="30" t="s">
        <v>80</v>
      </c>
      <c r="I64" s="30" t="s">
        <v>144</v>
      </c>
      <c r="J64" s="30" t="str">
        <f>IFERROR(VLOOKUP(I64,'Kode Data'!$E$9:$F$13,2,0)&amp;DATEVALUE(A64),"NA")</f>
        <v>NA</v>
      </c>
      <c r="K64" s="30" t="s">
        <v>174</v>
      </c>
      <c r="L64" s="30" t="s">
        <v>139</v>
      </c>
      <c r="M64" s="29">
        <v>45842</v>
      </c>
      <c r="N64" s="37">
        <f t="shared" si="0"/>
        <v>2</v>
      </c>
      <c r="O64" s="5" t="str">
        <f t="shared" si="1"/>
        <v>Tepat Waktu</v>
      </c>
    </row>
    <row r="65" spans="1:15" ht="14.5" x14ac:dyDescent="0.35">
      <c r="A65" s="29">
        <v>45843</v>
      </c>
      <c r="B65" s="30" t="s">
        <v>284</v>
      </c>
      <c r="C65" s="30" t="s">
        <v>64</v>
      </c>
      <c r="D65" s="31" t="s">
        <v>65</v>
      </c>
      <c r="E65" s="32" t="s">
        <v>285</v>
      </c>
      <c r="F65" s="32" t="s">
        <v>193</v>
      </c>
      <c r="G65" s="30">
        <v>550</v>
      </c>
      <c r="H65" s="30" t="s">
        <v>80</v>
      </c>
      <c r="I65" s="30" t="s">
        <v>158</v>
      </c>
      <c r="J65" s="30" t="str">
        <f>IFERROR(VLOOKUP(I65,'Kode Data'!$E$9:$F$13,2,0)&amp;DATEVALUE(A65),"NA")</f>
        <v>NA</v>
      </c>
      <c r="K65" s="30" t="s">
        <v>138</v>
      </c>
      <c r="L65" s="30" t="s">
        <v>139</v>
      </c>
      <c r="M65" s="29">
        <v>45853</v>
      </c>
      <c r="N65" s="37">
        <f t="shared" si="0"/>
        <v>10</v>
      </c>
      <c r="O65" s="5" t="str">
        <f t="shared" si="1"/>
        <v>Terlambat/Cancel</v>
      </c>
    </row>
    <row r="66" spans="1:15" ht="14.5" x14ac:dyDescent="0.35">
      <c r="A66" s="29">
        <v>45844</v>
      </c>
      <c r="B66" s="30" t="s">
        <v>286</v>
      </c>
      <c r="C66" s="30" t="s">
        <v>68</v>
      </c>
      <c r="D66" s="31" t="s">
        <v>69</v>
      </c>
      <c r="E66" s="32" t="s">
        <v>287</v>
      </c>
      <c r="F66" s="32" t="s">
        <v>137</v>
      </c>
      <c r="G66" s="30">
        <v>450</v>
      </c>
      <c r="H66" s="30" t="s">
        <v>80</v>
      </c>
      <c r="I66" s="30" t="s">
        <v>44</v>
      </c>
      <c r="J66" s="30" t="str">
        <f>IFERROR(VLOOKUP(I66,'Kode Data'!$E$9:$F$13,2,0)&amp;DATEVALUE(A66),"NA")</f>
        <v>NA</v>
      </c>
      <c r="K66" s="30" t="s">
        <v>138</v>
      </c>
      <c r="L66" s="30" t="s">
        <v>139</v>
      </c>
      <c r="M66" s="29">
        <v>45853</v>
      </c>
      <c r="N66" s="37">
        <f t="shared" si="0"/>
        <v>9</v>
      </c>
      <c r="O66" s="5" t="str">
        <f t="shared" si="1"/>
        <v>Terlambat/Cancel</v>
      </c>
    </row>
    <row r="67" spans="1:15" ht="14.5" x14ac:dyDescent="0.35">
      <c r="A67" s="29">
        <v>45848</v>
      </c>
      <c r="B67" s="30" t="s">
        <v>288</v>
      </c>
      <c r="C67" s="30" t="s">
        <v>62</v>
      </c>
      <c r="D67" s="31" t="s">
        <v>63</v>
      </c>
      <c r="E67" s="32" t="s">
        <v>289</v>
      </c>
      <c r="F67" s="32" t="s">
        <v>143</v>
      </c>
      <c r="G67" s="30">
        <v>500</v>
      </c>
      <c r="H67" s="30" t="s">
        <v>80</v>
      </c>
      <c r="I67" s="30" t="s">
        <v>144</v>
      </c>
      <c r="J67" s="30" t="str">
        <f>IFERROR(VLOOKUP(I67,'Kode Data'!$E$9:$F$13,2,0)&amp;DATEVALUE(A67),"NA")</f>
        <v>NA</v>
      </c>
      <c r="K67" s="30" t="s">
        <v>150</v>
      </c>
      <c r="L67" s="30" t="s">
        <v>139</v>
      </c>
      <c r="M67" s="29">
        <v>45849</v>
      </c>
      <c r="N67" s="37">
        <f t="shared" si="0"/>
        <v>1</v>
      </c>
      <c r="O67" s="5" t="str">
        <f t="shared" si="1"/>
        <v>Tepat Waktu</v>
      </c>
    </row>
    <row r="68" spans="1:15" ht="14.5" x14ac:dyDescent="0.35">
      <c r="A68" s="29">
        <v>45850</v>
      </c>
      <c r="B68" s="30" t="s">
        <v>290</v>
      </c>
      <c r="C68" s="30" t="s">
        <v>60</v>
      </c>
      <c r="D68" s="31" t="s">
        <v>61</v>
      </c>
      <c r="E68" s="32" t="s">
        <v>291</v>
      </c>
      <c r="F68" s="32" t="s">
        <v>157</v>
      </c>
      <c r="G68" s="30">
        <v>700</v>
      </c>
      <c r="H68" s="30" t="s">
        <v>80</v>
      </c>
      <c r="I68" s="30" t="s">
        <v>44</v>
      </c>
      <c r="J68" s="30" t="str">
        <f>IFERROR(VLOOKUP(I68,'Kode Data'!$E$9:$F$13,2,0)&amp;DATEVALUE(A68),"NA")</f>
        <v>NA</v>
      </c>
      <c r="K68" s="30" t="s">
        <v>138</v>
      </c>
      <c r="L68" s="30" t="s">
        <v>139</v>
      </c>
      <c r="M68" s="29">
        <v>45858</v>
      </c>
      <c r="N68" s="37">
        <f t="shared" si="0"/>
        <v>8</v>
      </c>
      <c r="O68" s="5" t="str">
        <f t="shared" si="1"/>
        <v>Tepat Waktu</v>
      </c>
    </row>
    <row r="69" spans="1:15" ht="14.5" x14ac:dyDescent="0.35">
      <c r="A69" s="29">
        <v>45864</v>
      </c>
      <c r="B69" s="30" t="s">
        <v>292</v>
      </c>
      <c r="C69" s="30" t="s">
        <v>62</v>
      </c>
      <c r="D69" s="31" t="s">
        <v>63</v>
      </c>
      <c r="E69" s="32" t="s">
        <v>293</v>
      </c>
      <c r="F69" s="32" t="s">
        <v>212</v>
      </c>
      <c r="G69" s="30">
        <v>600</v>
      </c>
      <c r="H69" s="30" t="s">
        <v>80</v>
      </c>
      <c r="I69" s="30" t="s">
        <v>48</v>
      </c>
      <c r="J69" s="30" t="str">
        <f>IFERROR(VLOOKUP(I69,'Kode Data'!$E$9:$F$13,2,0)&amp;DATEVALUE(A69),"NA")</f>
        <v>NA</v>
      </c>
      <c r="K69" s="30" t="s">
        <v>138</v>
      </c>
      <c r="L69" s="30" t="s">
        <v>139</v>
      </c>
      <c r="M69" s="29">
        <v>45884</v>
      </c>
      <c r="N69" s="37">
        <f t="shared" si="0"/>
        <v>20</v>
      </c>
      <c r="O69" s="5" t="str">
        <f t="shared" si="1"/>
        <v>Terlambat/Cancel</v>
      </c>
    </row>
    <row r="70" spans="1:15" ht="14.5" x14ac:dyDescent="0.35">
      <c r="A70" s="29">
        <v>45866</v>
      </c>
      <c r="B70" s="30" t="s">
        <v>294</v>
      </c>
      <c r="C70" s="30" t="s">
        <v>60</v>
      </c>
      <c r="D70" s="31" t="s">
        <v>61</v>
      </c>
      <c r="E70" s="32" t="s">
        <v>295</v>
      </c>
      <c r="F70" s="32" t="s">
        <v>149</v>
      </c>
      <c r="G70" s="30">
        <v>500</v>
      </c>
      <c r="H70" s="30" t="s">
        <v>80</v>
      </c>
      <c r="I70" s="30" t="s">
        <v>144</v>
      </c>
      <c r="J70" s="30" t="str">
        <f>IFERROR(VLOOKUP(I70,'Kode Data'!$E$9:$F$13,2,0)&amp;DATEVALUE(A70),"NA")</f>
        <v>NA</v>
      </c>
      <c r="K70" s="30" t="s">
        <v>174</v>
      </c>
      <c r="L70" s="30" t="s">
        <v>139</v>
      </c>
      <c r="M70" s="29">
        <v>45870</v>
      </c>
      <c r="N70" s="37">
        <f t="shared" si="0"/>
        <v>4</v>
      </c>
      <c r="O70" s="5" t="str">
        <f t="shared" si="1"/>
        <v>Tepat Waktu</v>
      </c>
    </row>
    <row r="71" spans="1:15" ht="14.5" x14ac:dyDescent="0.35">
      <c r="A71" s="29">
        <v>45866</v>
      </c>
      <c r="B71" s="30" t="s">
        <v>296</v>
      </c>
      <c r="C71" s="30" t="s">
        <v>66</v>
      </c>
      <c r="D71" s="31" t="s">
        <v>67</v>
      </c>
      <c r="E71" s="32" t="s">
        <v>297</v>
      </c>
      <c r="F71" s="32" t="s">
        <v>157</v>
      </c>
      <c r="G71" s="30">
        <v>300</v>
      </c>
      <c r="H71" s="30" t="s">
        <v>80</v>
      </c>
      <c r="I71" s="30" t="s">
        <v>44</v>
      </c>
      <c r="J71" s="30" t="str">
        <f>IFERROR(VLOOKUP(I71,'Kode Data'!$E$9:$F$13,2,0)&amp;DATEVALUE(A71),"NA")</f>
        <v>NA</v>
      </c>
      <c r="K71" s="30" t="s">
        <v>138</v>
      </c>
      <c r="L71" s="30" t="s">
        <v>139</v>
      </c>
      <c r="M71" s="29">
        <v>45874</v>
      </c>
      <c r="N71" s="37">
        <f t="shared" si="0"/>
        <v>8</v>
      </c>
      <c r="O71" s="5" t="str">
        <f t="shared" si="1"/>
        <v>Tepat Waktu</v>
      </c>
    </row>
    <row r="72" spans="1:15" ht="14.5" x14ac:dyDescent="0.35">
      <c r="A72" s="29">
        <v>45878</v>
      </c>
      <c r="B72" s="30" t="s">
        <v>298</v>
      </c>
      <c r="C72" s="30" t="s">
        <v>64</v>
      </c>
      <c r="D72" s="31" t="s">
        <v>65</v>
      </c>
      <c r="E72" s="32" t="s">
        <v>299</v>
      </c>
      <c r="F72" s="32" t="s">
        <v>154</v>
      </c>
      <c r="G72" s="30">
        <v>600</v>
      </c>
      <c r="H72" s="30" t="s">
        <v>80</v>
      </c>
      <c r="I72" s="30" t="s">
        <v>144</v>
      </c>
      <c r="J72" s="30" t="str">
        <f>IFERROR(VLOOKUP(I72,'Kode Data'!$E$9:$F$13,2,0)&amp;DATEVALUE(A72),"NA")</f>
        <v>NA</v>
      </c>
      <c r="K72" s="30" t="s">
        <v>161</v>
      </c>
      <c r="L72" s="30" t="s">
        <v>139</v>
      </c>
      <c r="M72" s="29">
        <v>45881</v>
      </c>
      <c r="N72" s="37">
        <f t="shared" si="0"/>
        <v>3</v>
      </c>
      <c r="O72" s="5" t="str">
        <f t="shared" si="1"/>
        <v>Tepat Waktu</v>
      </c>
    </row>
    <row r="73" spans="1:15" ht="14.5" x14ac:dyDescent="0.35">
      <c r="A73" s="29">
        <v>45879</v>
      </c>
      <c r="B73" s="30" t="s">
        <v>300</v>
      </c>
      <c r="C73" s="30" t="s">
        <v>68</v>
      </c>
      <c r="D73" s="31" t="s">
        <v>69</v>
      </c>
      <c r="E73" s="32" t="s">
        <v>301</v>
      </c>
      <c r="F73" s="32" t="s">
        <v>212</v>
      </c>
      <c r="G73" s="30">
        <v>500</v>
      </c>
      <c r="H73" s="30" t="s">
        <v>80</v>
      </c>
      <c r="I73" s="30" t="s">
        <v>32</v>
      </c>
      <c r="J73" s="30" t="str">
        <f>IFERROR(VLOOKUP(I73,'Kode Data'!$E$9:$F$13,2,0)&amp;DATEVALUE(A73),"NA")</f>
        <v>NA</v>
      </c>
      <c r="K73" s="30" t="s">
        <v>138</v>
      </c>
      <c r="L73" s="30" t="s">
        <v>139</v>
      </c>
      <c r="M73" s="29">
        <v>45893</v>
      </c>
      <c r="N73" s="37">
        <f t="shared" si="0"/>
        <v>14</v>
      </c>
      <c r="O73" s="5" t="str">
        <f t="shared" si="1"/>
        <v>Tepat Waktu</v>
      </c>
    </row>
    <row r="74" spans="1:15" ht="14.5" x14ac:dyDescent="0.35">
      <c r="A74" s="29">
        <v>45880</v>
      </c>
      <c r="B74" s="30" t="s">
        <v>302</v>
      </c>
      <c r="C74" s="30" t="s">
        <v>60</v>
      </c>
      <c r="D74" s="31" t="s">
        <v>61</v>
      </c>
      <c r="E74" s="32" t="s">
        <v>303</v>
      </c>
      <c r="F74" s="32" t="s">
        <v>219</v>
      </c>
      <c r="G74" s="30">
        <v>600</v>
      </c>
      <c r="H74" s="30" t="s">
        <v>80</v>
      </c>
      <c r="I74" s="30" t="s">
        <v>144</v>
      </c>
      <c r="J74" s="30" t="str">
        <f>IFERROR(VLOOKUP(I74,'Kode Data'!$E$9:$F$13,2,0)&amp;DATEVALUE(A74),"NA")</f>
        <v>NA</v>
      </c>
      <c r="K74" s="30" t="s">
        <v>150</v>
      </c>
      <c r="L74" s="30" t="s">
        <v>139</v>
      </c>
      <c r="M74" s="29">
        <v>45882</v>
      </c>
      <c r="N74" s="37">
        <f t="shared" si="0"/>
        <v>2</v>
      </c>
      <c r="O74" s="5" t="str">
        <f t="shared" si="1"/>
        <v>Tepat Waktu</v>
      </c>
    </row>
    <row r="75" spans="1:15" ht="14.5" x14ac:dyDescent="0.35">
      <c r="A75" s="29">
        <v>45881</v>
      </c>
      <c r="B75" s="30" t="s">
        <v>304</v>
      </c>
      <c r="C75" s="30" t="s">
        <v>62</v>
      </c>
      <c r="D75" s="31" t="s">
        <v>63</v>
      </c>
      <c r="E75" s="32" t="s">
        <v>305</v>
      </c>
      <c r="F75" s="32" t="s">
        <v>143</v>
      </c>
      <c r="G75" s="30">
        <v>700</v>
      </c>
      <c r="H75" s="30" t="s">
        <v>80</v>
      </c>
      <c r="I75" s="30" t="s">
        <v>144</v>
      </c>
      <c r="J75" s="30" t="str">
        <f>IFERROR(VLOOKUP(I75,'Kode Data'!$E$9:$F$13,2,0)&amp;DATEVALUE(A75),"NA")</f>
        <v>NA</v>
      </c>
      <c r="K75" s="30" t="s">
        <v>150</v>
      </c>
      <c r="L75" s="30" t="s">
        <v>139</v>
      </c>
      <c r="M75" s="29">
        <v>45882</v>
      </c>
      <c r="N75" s="37">
        <f t="shared" si="0"/>
        <v>1</v>
      </c>
      <c r="O75" s="5" t="str">
        <f t="shared" si="1"/>
        <v>Tepat Waktu</v>
      </c>
    </row>
    <row r="76" spans="1:15" ht="14.5" x14ac:dyDescent="0.35">
      <c r="A76" s="29">
        <v>45895</v>
      </c>
      <c r="B76" s="30" t="s">
        <v>306</v>
      </c>
      <c r="C76" s="30" t="s">
        <v>60</v>
      </c>
      <c r="D76" s="31" t="s">
        <v>61</v>
      </c>
      <c r="E76" s="32" t="s">
        <v>307</v>
      </c>
      <c r="F76" s="32" t="s">
        <v>193</v>
      </c>
      <c r="G76" s="30">
        <v>700</v>
      </c>
      <c r="H76" s="30" t="s">
        <v>80</v>
      </c>
      <c r="I76" s="30" t="s">
        <v>48</v>
      </c>
      <c r="J76" s="30" t="str">
        <f>IFERROR(VLOOKUP(I76,'Kode Data'!$E$9:$F$13,2,0)&amp;DATEVALUE(A76),"NA")</f>
        <v>NA</v>
      </c>
      <c r="K76" s="30" t="s">
        <v>138</v>
      </c>
      <c r="L76" s="30" t="s">
        <v>171</v>
      </c>
      <c r="M76" s="30" t="s">
        <v>138</v>
      </c>
      <c r="N76" s="37" t="str">
        <f t="shared" si="0"/>
        <v>NA</v>
      </c>
      <c r="O76" s="5" t="str">
        <f t="shared" si="1"/>
        <v>Terlambat/Cancel</v>
      </c>
    </row>
    <row r="77" spans="1:15" ht="14.5" x14ac:dyDescent="0.35">
      <c r="A77" s="29">
        <v>45897</v>
      </c>
      <c r="B77" s="30" t="s">
        <v>308</v>
      </c>
      <c r="C77" s="30" t="s">
        <v>62</v>
      </c>
      <c r="D77" s="31" t="s">
        <v>63</v>
      </c>
      <c r="E77" s="32" t="s">
        <v>309</v>
      </c>
      <c r="F77" s="32" t="s">
        <v>149</v>
      </c>
      <c r="G77" s="30">
        <v>800</v>
      </c>
      <c r="H77" s="30" t="s">
        <v>80</v>
      </c>
      <c r="I77" s="30" t="s">
        <v>144</v>
      </c>
      <c r="J77" s="30" t="str">
        <f>IFERROR(VLOOKUP(I77,'Kode Data'!$E$9:$F$13,2,0)&amp;DATEVALUE(A77),"NA")</f>
        <v>NA</v>
      </c>
      <c r="K77" s="30" t="s">
        <v>145</v>
      </c>
      <c r="L77" s="30" t="s">
        <v>139</v>
      </c>
      <c r="M77" s="29">
        <v>45901</v>
      </c>
      <c r="N77" s="37">
        <f t="shared" si="0"/>
        <v>4</v>
      </c>
      <c r="O77" s="5" t="str">
        <f t="shared" si="1"/>
        <v>Tepat Waktu</v>
      </c>
    </row>
    <row r="78" spans="1:15" ht="14.5" x14ac:dyDescent="0.35">
      <c r="A78" s="29">
        <v>45901</v>
      </c>
      <c r="B78" s="30" t="s">
        <v>310</v>
      </c>
      <c r="C78" s="30" t="s">
        <v>66</v>
      </c>
      <c r="D78" s="31" t="s">
        <v>67</v>
      </c>
      <c r="E78" s="32" t="s">
        <v>311</v>
      </c>
      <c r="F78" s="32" t="s">
        <v>149</v>
      </c>
      <c r="G78" s="30">
        <v>450</v>
      </c>
      <c r="H78" s="30" t="s">
        <v>80</v>
      </c>
      <c r="I78" s="30" t="s">
        <v>144</v>
      </c>
      <c r="J78" s="30" t="str">
        <f>IFERROR(VLOOKUP(I78,'Kode Data'!$E$9:$F$13,2,0)&amp;DATEVALUE(A78),"NA")</f>
        <v>NA</v>
      </c>
      <c r="K78" s="30" t="s">
        <v>161</v>
      </c>
      <c r="L78" s="30" t="s">
        <v>139</v>
      </c>
      <c r="M78" s="29">
        <v>45905</v>
      </c>
      <c r="N78" s="37">
        <f t="shared" si="0"/>
        <v>4</v>
      </c>
      <c r="O78" s="5" t="str">
        <f t="shared" si="1"/>
        <v>Tepat Waktu</v>
      </c>
    </row>
    <row r="79" spans="1:15" ht="14.5" x14ac:dyDescent="0.35">
      <c r="A79" s="29">
        <v>45910</v>
      </c>
      <c r="B79" s="30" t="s">
        <v>312</v>
      </c>
      <c r="C79" s="30" t="s">
        <v>60</v>
      </c>
      <c r="D79" s="31" t="s">
        <v>61</v>
      </c>
      <c r="E79" s="32" t="s">
        <v>313</v>
      </c>
      <c r="F79" s="32" t="s">
        <v>154</v>
      </c>
      <c r="G79" s="30">
        <v>500</v>
      </c>
      <c r="H79" s="30" t="s">
        <v>80</v>
      </c>
      <c r="I79" s="30" t="s">
        <v>144</v>
      </c>
      <c r="J79" s="30" t="str">
        <f>IFERROR(VLOOKUP(I79,'Kode Data'!$E$9:$F$13,2,0)&amp;DATEVALUE(A79),"NA")</f>
        <v>NA</v>
      </c>
      <c r="K79" s="30" t="s">
        <v>168</v>
      </c>
      <c r="L79" s="30" t="s">
        <v>139</v>
      </c>
      <c r="M79" s="29">
        <v>45913</v>
      </c>
      <c r="N79" s="37">
        <f t="shared" si="0"/>
        <v>3</v>
      </c>
      <c r="O79" s="5" t="str">
        <f t="shared" si="1"/>
        <v>Tepat Waktu</v>
      </c>
    </row>
    <row r="80" spans="1:15" ht="14.5" x14ac:dyDescent="0.35">
      <c r="A80" s="29">
        <v>45913</v>
      </c>
      <c r="B80" s="30" t="s">
        <v>314</v>
      </c>
      <c r="C80" s="30" t="s">
        <v>68</v>
      </c>
      <c r="D80" s="31" t="s">
        <v>69</v>
      </c>
      <c r="E80" s="32" t="s">
        <v>315</v>
      </c>
      <c r="F80" s="32" t="s">
        <v>193</v>
      </c>
      <c r="G80" s="30">
        <v>450</v>
      </c>
      <c r="H80" s="30" t="s">
        <v>80</v>
      </c>
      <c r="I80" s="30" t="s">
        <v>44</v>
      </c>
      <c r="J80" s="30" t="str">
        <f>IFERROR(VLOOKUP(I80,'Kode Data'!$E$9:$F$13,2,0)&amp;DATEVALUE(A80),"NA")</f>
        <v>NA</v>
      </c>
      <c r="K80" s="30" t="s">
        <v>138</v>
      </c>
      <c r="L80" s="30" t="s">
        <v>139</v>
      </c>
      <c r="M80" s="29">
        <v>45921</v>
      </c>
      <c r="N80" s="37">
        <f t="shared" si="0"/>
        <v>8</v>
      </c>
      <c r="O80" s="5" t="str">
        <f t="shared" si="1"/>
        <v>Tepat Waktu</v>
      </c>
    </row>
    <row r="81" spans="1:15" ht="14.5" x14ac:dyDescent="0.35">
      <c r="A81" s="29">
        <v>45915</v>
      </c>
      <c r="B81" s="30" t="s">
        <v>316</v>
      </c>
      <c r="C81" s="30" t="s">
        <v>62</v>
      </c>
      <c r="D81" s="31" t="s">
        <v>63</v>
      </c>
      <c r="E81" s="32" t="s">
        <v>317</v>
      </c>
      <c r="F81" s="32" t="s">
        <v>149</v>
      </c>
      <c r="G81" s="30">
        <v>700</v>
      </c>
      <c r="H81" s="30" t="s">
        <v>80</v>
      </c>
      <c r="I81" s="30" t="s">
        <v>144</v>
      </c>
      <c r="J81" s="30" t="str">
        <f>IFERROR(VLOOKUP(I81,'Kode Data'!$E$9:$F$13,2,0)&amp;DATEVALUE(A81),"NA")</f>
        <v>NA</v>
      </c>
      <c r="K81" s="30" t="s">
        <v>174</v>
      </c>
      <c r="L81" s="30" t="s">
        <v>171</v>
      </c>
      <c r="M81" s="30" t="s">
        <v>138</v>
      </c>
      <c r="N81" s="37" t="str">
        <f t="shared" si="0"/>
        <v>NA</v>
      </c>
      <c r="O81" s="5" t="str">
        <f t="shared" si="1"/>
        <v>Terlambat/Cancel</v>
      </c>
    </row>
    <row r="82" spans="1:15" ht="14.5" x14ac:dyDescent="0.35">
      <c r="A82" s="29">
        <v>45916</v>
      </c>
      <c r="B82" s="30" t="s">
        <v>318</v>
      </c>
      <c r="C82" s="30" t="s">
        <v>68</v>
      </c>
      <c r="D82" s="31" t="s">
        <v>69</v>
      </c>
      <c r="E82" s="32" t="s">
        <v>319</v>
      </c>
      <c r="F82" s="32" t="s">
        <v>143</v>
      </c>
      <c r="G82" s="30">
        <v>500</v>
      </c>
      <c r="H82" s="30" t="s">
        <v>80</v>
      </c>
      <c r="I82" s="30" t="s">
        <v>144</v>
      </c>
      <c r="J82" s="30" t="str">
        <f>IFERROR(VLOOKUP(I82,'Kode Data'!$E$9:$F$13,2,0)&amp;DATEVALUE(A82),"NA")</f>
        <v>NA</v>
      </c>
      <c r="K82" s="30" t="s">
        <v>174</v>
      </c>
      <c r="L82" s="30" t="s">
        <v>139</v>
      </c>
      <c r="M82" s="29">
        <v>45917</v>
      </c>
      <c r="N82" s="37">
        <f t="shared" si="0"/>
        <v>1</v>
      </c>
      <c r="O82" s="5" t="str">
        <f t="shared" si="1"/>
        <v>Tepat Waktu</v>
      </c>
    </row>
    <row r="83" spans="1:15" ht="14.5" x14ac:dyDescent="0.35">
      <c r="A83" s="29">
        <v>45925</v>
      </c>
      <c r="B83" s="30" t="s">
        <v>320</v>
      </c>
      <c r="C83" s="30" t="s">
        <v>60</v>
      </c>
      <c r="D83" s="31" t="s">
        <v>61</v>
      </c>
      <c r="E83" s="32" t="s">
        <v>321</v>
      </c>
      <c r="F83" s="32" t="s">
        <v>149</v>
      </c>
      <c r="G83" s="30">
        <v>600</v>
      </c>
      <c r="H83" s="30" t="s">
        <v>80</v>
      </c>
      <c r="I83" s="30" t="s">
        <v>144</v>
      </c>
      <c r="J83" s="30" t="str">
        <f>IFERROR(VLOOKUP(I83,'Kode Data'!$E$9:$F$13,2,0)&amp;DATEVALUE(A83),"NA")</f>
        <v>NA</v>
      </c>
      <c r="K83" s="30" t="s">
        <v>145</v>
      </c>
      <c r="L83" s="30" t="s">
        <v>139</v>
      </c>
      <c r="M83" s="29">
        <v>45929</v>
      </c>
      <c r="N83" s="37">
        <f t="shared" si="0"/>
        <v>4</v>
      </c>
      <c r="O83" s="5" t="str">
        <f t="shared" si="1"/>
        <v>Tepat Waktu</v>
      </c>
    </row>
    <row r="84" spans="1:15" ht="14.5" x14ac:dyDescent="0.35">
      <c r="A84" s="29">
        <v>45930</v>
      </c>
      <c r="B84" s="30" t="s">
        <v>322</v>
      </c>
      <c r="C84" s="30" t="s">
        <v>62</v>
      </c>
      <c r="D84" s="31" t="s">
        <v>63</v>
      </c>
      <c r="E84" s="32" t="s">
        <v>323</v>
      </c>
      <c r="F84" s="32" t="s">
        <v>149</v>
      </c>
      <c r="G84" s="30">
        <v>600</v>
      </c>
      <c r="H84" s="30" t="s">
        <v>80</v>
      </c>
      <c r="I84" s="30" t="s">
        <v>144</v>
      </c>
      <c r="J84" s="30" t="str">
        <f>IFERROR(VLOOKUP(I84,'Kode Data'!$E$9:$F$13,2,0)&amp;DATEVALUE(A84),"NA")</f>
        <v>NA</v>
      </c>
      <c r="K84" s="30" t="s">
        <v>150</v>
      </c>
      <c r="L84" s="30" t="s">
        <v>171</v>
      </c>
      <c r="M84" s="30" t="s">
        <v>138</v>
      </c>
      <c r="N84" s="37" t="str">
        <f t="shared" si="0"/>
        <v>NA</v>
      </c>
      <c r="O84" s="5" t="str">
        <f t="shared" si="1"/>
        <v>Terlambat/Cancel</v>
      </c>
    </row>
    <row r="85" spans="1:15" ht="14.5" x14ac:dyDescent="0.35">
      <c r="A85" s="29">
        <v>45939</v>
      </c>
      <c r="B85" s="30" t="s">
        <v>324</v>
      </c>
      <c r="C85" s="30" t="s">
        <v>60</v>
      </c>
      <c r="D85" s="31" t="s">
        <v>61</v>
      </c>
      <c r="E85" s="32" t="s">
        <v>325</v>
      </c>
      <c r="F85" s="32" t="s">
        <v>167</v>
      </c>
      <c r="G85" s="30">
        <v>700</v>
      </c>
      <c r="H85" s="30" t="s">
        <v>80</v>
      </c>
      <c r="I85" s="30" t="s">
        <v>144</v>
      </c>
      <c r="J85" s="30" t="str">
        <f>IFERROR(VLOOKUP(I85,'Kode Data'!$E$9:$F$13,2,0)&amp;DATEVALUE(A85),"NA")</f>
        <v>NA</v>
      </c>
      <c r="K85" s="30" t="s">
        <v>174</v>
      </c>
      <c r="L85" s="30" t="s">
        <v>139</v>
      </c>
      <c r="M85" s="38">
        <v>45943</v>
      </c>
      <c r="N85" s="37">
        <f t="shared" si="0"/>
        <v>4</v>
      </c>
      <c r="O85" s="5" t="str">
        <f t="shared" si="1"/>
        <v>Tepat Waktu</v>
      </c>
    </row>
    <row r="86" spans="1:15" ht="14.5" x14ac:dyDescent="0.35">
      <c r="A86" s="29">
        <v>45941</v>
      </c>
      <c r="B86" s="30" t="s">
        <v>326</v>
      </c>
      <c r="C86" s="30" t="s">
        <v>62</v>
      </c>
      <c r="D86" s="31" t="s">
        <v>63</v>
      </c>
      <c r="E86" s="32" t="s">
        <v>327</v>
      </c>
      <c r="F86" s="32" t="s">
        <v>157</v>
      </c>
      <c r="G86" s="30">
        <v>800</v>
      </c>
      <c r="H86" s="30" t="s">
        <v>80</v>
      </c>
      <c r="I86" s="30" t="s">
        <v>48</v>
      </c>
      <c r="J86" s="30" t="str">
        <f>IFERROR(VLOOKUP(I86,'Kode Data'!$E$9:$F$13,2,0)&amp;DATEVALUE(A86),"NA")</f>
        <v>NA</v>
      </c>
      <c r="K86" s="30" t="s">
        <v>138</v>
      </c>
      <c r="L86" s="30" t="s">
        <v>139</v>
      </c>
      <c r="M86" s="38">
        <v>45950</v>
      </c>
      <c r="N86" s="37">
        <f t="shared" si="0"/>
        <v>9</v>
      </c>
      <c r="O86" s="5" t="str">
        <f t="shared" si="1"/>
        <v>Terlambat/Cancel</v>
      </c>
    </row>
    <row r="87" spans="1:15" ht="14.5" x14ac:dyDescent="0.35">
      <c r="A87" s="29">
        <v>45949</v>
      </c>
      <c r="B87" s="30" t="s">
        <v>328</v>
      </c>
      <c r="C87" s="30" t="s">
        <v>68</v>
      </c>
      <c r="D87" s="31" t="s">
        <v>69</v>
      </c>
      <c r="E87" s="32" t="s">
        <v>329</v>
      </c>
      <c r="F87" s="32" t="s">
        <v>137</v>
      </c>
      <c r="G87" s="30">
        <v>450</v>
      </c>
      <c r="H87" s="30" t="s">
        <v>80</v>
      </c>
      <c r="I87" s="30" t="s">
        <v>48</v>
      </c>
      <c r="J87" s="30" t="str">
        <f>IFERROR(VLOOKUP(I87,'Kode Data'!$E$9:$F$13,2,0)&amp;DATEVALUE(A87),"NA")</f>
        <v>NA</v>
      </c>
      <c r="K87" s="30" t="s">
        <v>138</v>
      </c>
      <c r="L87" s="30" t="s">
        <v>171</v>
      </c>
      <c r="M87" s="30" t="s">
        <v>138</v>
      </c>
      <c r="N87" s="37" t="str">
        <f t="shared" si="0"/>
        <v>NA</v>
      </c>
      <c r="O87" s="5" t="str">
        <f t="shared" si="1"/>
        <v>Terlambat/Cancel</v>
      </c>
    </row>
    <row r="88" spans="1:15" ht="14.5" x14ac:dyDescent="0.35">
      <c r="A88" s="29">
        <v>45953</v>
      </c>
      <c r="B88" s="30" t="s">
        <v>330</v>
      </c>
      <c r="C88" s="30" t="s">
        <v>68</v>
      </c>
      <c r="D88" s="31" t="s">
        <v>69</v>
      </c>
      <c r="E88" s="32" t="s">
        <v>331</v>
      </c>
      <c r="F88" s="32" t="s">
        <v>164</v>
      </c>
      <c r="G88" s="30">
        <v>500</v>
      </c>
      <c r="H88" s="30" t="s">
        <v>80</v>
      </c>
      <c r="I88" s="30" t="s">
        <v>48</v>
      </c>
      <c r="J88" s="30" t="str">
        <f>IFERROR(VLOOKUP(I88,'Kode Data'!$E$9:$F$13,2,0)&amp;DATEVALUE(A88),"NA")</f>
        <v>NA</v>
      </c>
      <c r="K88" s="30" t="s">
        <v>138</v>
      </c>
      <c r="L88" s="30" t="s">
        <v>139</v>
      </c>
      <c r="M88" s="38">
        <v>45960</v>
      </c>
      <c r="N88" s="37">
        <f t="shared" si="0"/>
        <v>7</v>
      </c>
      <c r="O88" s="5" t="str">
        <f t="shared" si="1"/>
        <v>Terlambat/Cancel</v>
      </c>
    </row>
    <row r="89" spans="1:15" ht="14.5" x14ac:dyDescent="0.35">
      <c r="A89" s="29">
        <v>45954</v>
      </c>
      <c r="B89" s="30" t="s">
        <v>332</v>
      </c>
      <c r="C89" s="30" t="s">
        <v>60</v>
      </c>
      <c r="D89" s="31" t="s">
        <v>61</v>
      </c>
      <c r="E89" s="32" t="s">
        <v>333</v>
      </c>
      <c r="F89" s="32" t="s">
        <v>149</v>
      </c>
      <c r="G89" s="30">
        <v>500</v>
      </c>
      <c r="H89" s="30" t="s">
        <v>80</v>
      </c>
      <c r="I89" s="30" t="s">
        <v>144</v>
      </c>
      <c r="J89" s="30" t="str">
        <f>IFERROR(VLOOKUP(I89,'Kode Data'!$E$9:$F$13,2,0)&amp;DATEVALUE(A89),"NA")</f>
        <v>NA</v>
      </c>
      <c r="K89" s="30" t="s">
        <v>150</v>
      </c>
      <c r="L89" s="30" t="s">
        <v>171</v>
      </c>
      <c r="M89" s="30" t="s">
        <v>138</v>
      </c>
      <c r="N89" s="37" t="str">
        <f t="shared" si="0"/>
        <v>NA</v>
      </c>
      <c r="O89" s="5" t="str">
        <f t="shared" si="1"/>
        <v>Terlambat/Cancel</v>
      </c>
    </row>
    <row r="90" spans="1:15" ht="14.5" x14ac:dyDescent="0.35">
      <c r="A90" s="29">
        <v>45957</v>
      </c>
      <c r="B90" s="30" t="s">
        <v>334</v>
      </c>
      <c r="C90" s="30" t="s">
        <v>62</v>
      </c>
      <c r="D90" s="31" t="s">
        <v>63</v>
      </c>
      <c r="E90" s="32" t="s">
        <v>335</v>
      </c>
      <c r="F90" s="32" t="s">
        <v>154</v>
      </c>
      <c r="G90" s="30">
        <v>900</v>
      </c>
      <c r="H90" s="30" t="s">
        <v>80</v>
      </c>
      <c r="I90" s="30" t="s">
        <v>144</v>
      </c>
      <c r="J90" s="30" t="str">
        <f>IFERROR(VLOOKUP(I90,'Kode Data'!$E$9:$F$13,2,0)&amp;DATEVALUE(A90),"NA")</f>
        <v>NA</v>
      </c>
      <c r="K90" s="30" t="s">
        <v>145</v>
      </c>
      <c r="L90" s="30" t="s">
        <v>171</v>
      </c>
      <c r="M90" s="30" t="s">
        <v>138</v>
      </c>
      <c r="N90" s="37" t="str">
        <f t="shared" si="0"/>
        <v>NA</v>
      </c>
      <c r="O90" s="5" t="str">
        <f t="shared" si="1"/>
        <v>Terlambat/Cancel</v>
      </c>
    </row>
    <row r="91" spans="1:15" ht="14.5" x14ac:dyDescent="0.35">
      <c r="A91" s="29">
        <v>45964</v>
      </c>
      <c r="B91" s="30" t="s">
        <v>336</v>
      </c>
      <c r="C91" s="30" t="s">
        <v>66</v>
      </c>
      <c r="D91" s="31" t="s">
        <v>67</v>
      </c>
      <c r="E91" s="32" t="s">
        <v>337</v>
      </c>
      <c r="F91" s="32" t="s">
        <v>154</v>
      </c>
      <c r="G91" s="30">
        <v>350</v>
      </c>
      <c r="H91" s="30" t="s">
        <v>80</v>
      </c>
      <c r="I91" s="30" t="s">
        <v>144</v>
      </c>
      <c r="J91" s="30" t="str">
        <f>IFERROR(VLOOKUP(I91,'Kode Data'!$E$9:$F$13,2,0)&amp;DATEVALUE(A91),"NA")</f>
        <v>NA</v>
      </c>
      <c r="K91" s="30" t="s">
        <v>168</v>
      </c>
      <c r="L91" s="30" t="s">
        <v>139</v>
      </c>
      <c r="M91" s="29">
        <v>45967</v>
      </c>
      <c r="N91" s="37">
        <f t="shared" si="0"/>
        <v>3</v>
      </c>
      <c r="O91" s="5" t="str">
        <f t="shared" si="1"/>
        <v>Tepat Waktu</v>
      </c>
    </row>
    <row r="92" spans="1:15" ht="14.5" x14ac:dyDescent="0.35">
      <c r="A92" s="29">
        <v>45973</v>
      </c>
      <c r="B92" s="30" t="s">
        <v>338</v>
      </c>
      <c r="C92" s="30" t="s">
        <v>60</v>
      </c>
      <c r="D92" s="31" t="s">
        <v>61</v>
      </c>
      <c r="E92" s="32" t="s">
        <v>339</v>
      </c>
      <c r="F92" s="32" t="s">
        <v>219</v>
      </c>
      <c r="G92" s="30">
        <v>600</v>
      </c>
      <c r="H92" s="30" t="s">
        <v>80</v>
      </c>
      <c r="I92" s="30" t="s">
        <v>144</v>
      </c>
      <c r="J92" s="30" t="str">
        <f>IFERROR(VLOOKUP(I92,'Kode Data'!$E$9:$F$13,2,0)&amp;DATEVALUE(A92),"NA")</f>
        <v>NA</v>
      </c>
      <c r="K92" s="30" t="s">
        <v>161</v>
      </c>
      <c r="L92" s="30" t="s">
        <v>139</v>
      </c>
      <c r="M92" s="38">
        <v>45975</v>
      </c>
      <c r="N92" s="37">
        <f t="shared" si="0"/>
        <v>2</v>
      </c>
      <c r="O92" s="5" t="str">
        <f t="shared" si="1"/>
        <v>Tepat Waktu</v>
      </c>
    </row>
    <row r="93" spans="1:15" ht="14.5" x14ac:dyDescent="0.35">
      <c r="A93" s="29">
        <v>45973</v>
      </c>
      <c r="B93" s="30" t="s">
        <v>340</v>
      </c>
      <c r="C93" s="30" t="s">
        <v>62</v>
      </c>
      <c r="D93" s="31" t="s">
        <v>63</v>
      </c>
      <c r="E93" s="32" t="s">
        <v>341</v>
      </c>
      <c r="F93" s="32" t="s">
        <v>149</v>
      </c>
      <c r="G93" s="30">
        <v>600</v>
      </c>
      <c r="H93" s="30" t="s">
        <v>80</v>
      </c>
      <c r="I93" s="30" t="s">
        <v>144</v>
      </c>
      <c r="J93" s="30" t="str">
        <f>IFERROR(VLOOKUP(I93,'Kode Data'!$E$9:$F$13,2,0)&amp;DATEVALUE(A93),"NA")</f>
        <v>NA</v>
      </c>
      <c r="K93" s="30" t="s">
        <v>145</v>
      </c>
      <c r="L93" s="30" t="s">
        <v>139</v>
      </c>
      <c r="M93" s="38">
        <v>45977</v>
      </c>
      <c r="N93" s="37">
        <f t="shared" si="0"/>
        <v>4</v>
      </c>
      <c r="O93" s="5" t="str">
        <f t="shared" si="1"/>
        <v>Tepat Waktu</v>
      </c>
    </row>
    <row r="94" spans="1:15" ht="14.5" x14ac:dyDescent="0.35">
      <c r="A94" s="29">
        <v>45987</v>
      </c>
      <c r="B94" s="30" t="s">
        <v>342</v>
      </c>
      <c r="C94" s="30" t="s">
        <v>68</v>
      </c>
      <c r="D94" s="31" t="s">
        <v>69</v>
      </c>
      <c r="E94" s="32" t="s">
        <v>343</v>
      </c>
      <c r="F94" s="32" t="s">
        <v>154</v>
      </c>
      <c r="G94" s="30">
        <v>450</v>
      </c>
      <c r="H94" s="30" t="s">
        <v>80</v>
      </c>
      <c r="I94" s="30" t="s">
        <v>144</v>
      </c>
      <c r="J94" s="30" t="str">
        <f>IFERROR(VLOOKUP(I94,'Kode Data'!$E$9:$F$13,2,0)&amp;DATEVALUE(A94),"NA")</f>
        <v>NA</v>
      </c>
      <c r="K94" s="30" t="s">
        <v>168</v>
      </c>
      <c r="L94" s="30" t="s">
        <v>139</v>
      </c>
      <c r="M94" s="38">
        <v>45990</v>
      </c>
      <c r="N94" s="37">
        <f t="shared" si="0"/>
        <v>3</v>
      </c>
      <c r="O94" s="5" t="str">
        <f t="shared" si="1"/>
        <v>Tepat Waktu</v>
      </c>
    </row>
    <row r="95" spans="1:15" ht="14.5" x14ac:dyDescent="0.35">
      <c r="A95" s="29">
        <v>45989</v>
      </c>
      <c r="B95" s="30" t="s">
        <v>344</v>
      </c>
      <c r="C95" s="30" t="s">
        <v>60</v>
      </c>
      <c r="D95" s="31" t="s">
        <v>61</v>
      </c>
      <c r="E95" s="32" t="s">
        <v>345</v>
      </c>
      <c r="F95" s="32" t="s">
        <v>149</v>
      </c>
      <c r="G95" s="30">
        <v>700</v>
      </c>
      <c r="H95" s="30" t="s">
        <v>80</v>
      </c>
      <c r="I95" s="30" t="s">
        <v>144</v>
      </c>
      <c r="J95" s="30" t="str">
        <f>IFERROR(VLOOKUP(I95,'Kode Data'!$E$9:$F$13,2,0)&amp;DATEVALUE(A95),"NA")</f>
        <v>NA</v>
      </c>
      <c r="K95" s="30" t="s">
        <v>161</v>
      </c>
      <c r="L95" s="30" t="s">
        <v>139</v>
      </c>
      <c r="M95" s="29">
        <v>45996</v>
      </c>
      <c r="N95" s="37">
        <f t="shared" si="0"/>
        <v>7</v>
      </c>
      <c r="O95" s="5" t="str">
        <f t="shared" si="1"/>
        <v>Terlambat/Cancel</v>
      </c>
    </row>
    <row r="96" spans="1:15" ht="14.5" x14ac:dyDescent="0.35">
      <c r="A96" s="29">
        <v>45990</v>
      </c>
      <c r="B96" s="30" t="s">
        <v>346</v>
      </c>
      <c r="C96" s="30" t="s">
        <v>62</v>
      </c>
      <c r="D96" s="31" t="s">
        <v>63</v>
      </c>
      <c r="E96" s="32" t="s">
        <v>347</v>
      </c>
      <c r="F96" s="32" t="s">
        <v>157</v>
      </c>
      <c r="G96" s="30">
        <v>700</v>
      </c>
      <c r="H96" s="30" t="s">
        <v>80</v>
      </c>
      <c r="I96" s="30" t="s">
        <v>40</v>
      </c>
      <c r="J96" s="30" t="str">
        <f>IFERROR(VLOOKUP(I96,'Kode Data'!$E$9:$F$13,2,0)&amp;DATEVALUE(A96),"NA")</f>
        <v>NA</v>
      </c>
      <c r="K96" s="30" t="s">
        <v>138</v>
      </c>
      <c r="L96" s="30" t="s">
        <v>171</v>
      </c>
      <c r="M96" s="30" t="s">
        <v>138</v>
      </c>
      <c r="N96" s="37" t="str">
        <f t="shared" si="0"/>
        <v>NA</v>
      </c>
      <c r="O96" s="5" t="str">
        <f t="shared" si="1"/>
        <v>Terlambat/Cancel</v>
      </c>
    </row>
    <row r="97" spans="1:15" ht="14.5" x14ac:dyDescent="0.35">
      <c r="A97" s="29">
        <v>45990</v>
      </c>
      <c r="B97" s="30" t="s">
        <v>348</v>
      </c>
      <c r="C97" s="30" t="s">
        <v>68</v>
      </c>
      <c r="D97" s="31" t="s">
        <v>69</v>
      </c>
      <c r="E97" s="32" t="s">
        <v>349</v>
      </c>
      <c r="F97" s="32" t="s">
        <v>193</v>
      </c>
      <c r="G97" s="30">
        <v>500</v>
      </c>
      <c r="H97" s="30" t="s">
        <v>80</v>
      </c>
      <c r="I97" s="30" t="s">
        <v>40</v>
      </c>
      <c r="J97" s="30" t="str">
        <f>IFERROR(VLOOKUP(I97,'Kode Data'!$E$9:$F$13,2,0)&amp;DATEVALUE(A97),"NA")</f>
        <v>NA</v>
      </c>
      <c r="K97" s="30" t="s">
        <v>138</v>
      </c>
      <c r="L97" s="30" t="s">
        <v>139</v>
      </c>
      <c r="M97" s="29">
        <v>45998</v>
      </c>
      <c r="N97" s="37">
        <f t="shared" si="0"/>
        <v>8</v>
      </c>
      <c r="O97" s="5" t="str">
        <f t="shared" si="1"/>
        <v>Tepat Waktu</v>
      </c>
    </row>
    <row r="98" spans="1:15" ht="14.5" x14ac:dyDescent="0.35">
      <c r="A98" s="29">
        <v>45992</v>
      </c>
      <c r="B98" s="30" t="s">
        <v>350</v>
      </c>
      <c r="C98" s="30" t="s">
        <v>68</v>
      </c>
      <c r="D98" s="31" t="s">
        <v>69</v>
      </c>
      <c r="E98" s="32" t="s">
        <v>351</v>
      </c>
      <c r="F98" s="32" t="s">
        <v>193</v>
      </c>
      <c r="G98" s="30">
        <v>450</v>
      </c>
      <c r="H98" s="30" t="s">
        <v>80</v>
      </c>
      <c r="I98" s="30" t="s">
        <v>158</v>
      </c>
      <c r="J98" s="30" t="str">
        <f>IFERROR(VLOOKUP(I98,'Kode Data'!$E$9:$F$13,2,0)&amp;DATEVALUE(A98),"NA")</f>
        <v>NA</v>
      </c>
      <c r="K98" s="30" t="s">
        <v>138</v>
      </c>
      <c r="L98" s="30" t="s">
        <v>139</v>
      </c>
      <c r="M98" s="29">
        <v>46000</v>
      </c>
      <c r="N98" s="37">
        <f t="shared" si="0"/>
        <v>8</v>
      </c>
      <c r="O98" s="5" t="str">
        <f t="shared" si="1"/>
        <v>Tepat Waktu</v>
      </c>
    </row>
    <row r="99" spans="1:15" ht="14.5" x14ac:dyDescent="0.35">
      <c r="A99" s="29">
        <v>45996</v>
      </c>
      <c r="B99" s="30" t="s">
        <v>352</v>
      </c>
      <c r="C99" s="30" t="s">
        <v>68</v>
      </c>
      <c r="D99" s="31" t="s">
        <v>69</v>
      </c>
      <c r="E99" s="32" t="s">
        <v>353</v>
      </c>
      <c r="F99" s="32" t="s">
        <v>193</v>
      </c>
      <c r="G99" s="30">
        <v>500</v>
      </c>
      <c r="H99" s="30" t="s">
        <v>80</v>
      </c>
      <c r="I99" s="30" t="s">
        <v>40</v>
      </c>
      <c r="J99" s="30" t="str">
        <f>IFERROR(VLOOKUP(I99,'Kode Data'!$E$9:$F$13,2,0)&amp;DATEVALUE(A99),"NA")</f>
        <v>NA</v>
      </c>
      <c r="K99" s="30" t="s">
        <v>138</v>
      </c>
      <c r="L99" s="30" t="s">
        <v>139</v>
      </c>
      <c r="M99" s="38">
        <v>46004</v>
      </c>
      <c r="N99" s="37">
        <f t="shared" si="0"/>
        <v>8</v>
      </c>
      <c r="O99" s="5" t="str">
        <f t="shared" si="1"/>
        <v>Tepat Waktu</v>
      </c>
    </row>
    <row r="100" spans="1:15" ht="14.5" x14ac:dyDescent="0.35">
      <c r="A100" s="29">
        <v>45999</v>
      </c>
      <c r="B100" s="30" t="s">
        <v>354</v>
      </c>
      <c r="C100" s="30" t="s">
        <v>66</v>
      </c>
      <c r="D100" s="31" t="s">
        <v>67</v>
      </c>
      <c r="E100" s="32" t="s">
        <v>355</v>
      </c>
      <c r="F100" s="32" t="s">
        <v>149</v>
      </c>
      <c r="G100" s="30">
        <v>400</v>
      </c>
      <c r="H100" s="30" t="s">
        <v>80</v>
      </c>
      <c r="I100" s="30" t="s">
        <v>144</v>
      </c>
      <c r="J100" s="30" t="str">
        <f>IFERROR(VLOOKUP(I100,'Kode Data'!$E$9:$F$13,2,0)&amp;DATEVALUE(A100),"NA")</f>
        <v>NA</v>
      </c>
      <c r="K100" s="30" t="s">
        <v>145</v>
      </c>
      <c r="L100" s="30" t="s">
        <v>356</v>
      </c>
      <c r="M100" s="30" t="s">
        <v>138</v>
      </c>
      <c r="N100" s="37" t="str">
        <f t="shared" si="0"/>
        <v>NA</v>
      </c>
      <c r="O100" s="5" t="str">
        <f t="shared" si="1"/>
        <v>Terlambat/Cancel</v>
      </c>
    </row>
    <row r="101" spans="1:15" ht="14.5" x14ac:dyDescent="0.35">
      <c r="A101" s="29">
        <v>45999</v>
      </c>
      <c r="B101" s="30" t="s">
        <v>357</v>
      </c>
      <c r="C101" s="30" t="s">
        <v>68</v>
      </c>
      <c r="D101" s="31" t="s">
        <v>69</v>
      </c>
      <c r="E101" s="32" t="s">
        <v>358</v>
      </c>
      <c r="F101" s="32" t="s">
        <v>154</v>
      </c>
      <c r="G101" s="30">
        <v>450</v>
      </c>
      <c r="H101" s="30" t="s">
        <v>80</v>
      </c>
      <c r="I101" s="30" t="s">
        <v>144</v>
      </c>
      <c r="J101" s="30" t="str">
        <f>IFERROR(VLOOKUP(I101,'Kode Data'!$E$9:$F$13,2,0)&amp;DATEVALUE(A101),"NA")</f>
        <v>NA</v>
      </c>
      <c r="K101" s="30" t="s">
        <v>161</v>
      </c>
      <c r="L101" s="30" t="s">
        <v>139</v>
      </c>
      <c r="M101" s="38">
        <v>46002</v>
      </c>
      <c r="N101" s="37">
        <f t="shared" si="0"/>
        <v>3</v>
      </c>
      <c r="O101" s="5" t="str">
        <f t="shared" si="1"/>
        <v>Tepat Waktu</v>
      </c>
    </row>
    <row r="102" spans="1:15" ht="14.5" x14ac:dyDescent="0.35">
      <c r="A102" s="29">
        <v>46002</v>
      </c>
      <c r="B102" s="30" t="s">
        <v>359</v>
      </c>
      <c r="C102" s="30" t="s">
        <v>60</v>
      </c>
      <c r="D102" s="31" t="s">
        <v>61</v>
      </c>
      <c r="E102" s="32" t="s">
        <v>347</v>
      </c>
      <c r="F102" s="32" t="s">
        <v>157</v>
      </c>
      <c r="G102" s="30">
        <v>500</v>
      </c>
      <c r="H102" s="30" t="s">
        <v>80</v>
      </c>
      <c r="I102" s="30" t="s">
        <v>40</v>
      </c>
      <c r="J102" s="30" t="str">
        <f>IFERROR(VLOOKUP(I102,'Kode Data'!$E$9:$F$13,2,0)&amp;DATEVALUE(A102),"NA")</f>
        <v>NA</v>
      </c>
      <c r="K102" s="30" t="s">
        <v>138</v>
      </c>
      <c r="L102" s="30" t="s">
        <v>171</v>
      </c>
      <c r="M102" s="30" t="s">
        <v>138</v>
      </c>
      <c r="N102" s="37" t="str">
        <f t="shared" si="0"/>
        <v>NA</v>
      </c>
      <c r="O102" s="5" t="str">
        <f t="shared" si="1"/>
        <v>Terlambat/Cancel</v>
      </c>
    </row>
    <row r="103" spans="1:15" ht="14.5" x14ac:dyDescent="0.35">
      <c r="A103" s="29">
        <v>46002</v>
      </c>
      <c r="B103" s="30" t="s">
        <v>360</v>
      </c>
      <c r="C103" s="30" t="s">
        <v>62</v>
      </c>
      <c r="D103" s="31" t="s">
        <v>63</v>
      </c>
      <c r="E103" s="32" t="s">
        <v>349</v>
      </c>
      <c r="F103" s="32" t="s">
        <v>193</v>
      </c>
      <c r="G103" s="30">
        <v>800</v>
      </c>
      <c r="H103" s="30" t="s">
        <v>80</v>
      </c>
      <c r="I103" s="30" t="s">
        <v>40</v>
      </c>
      <c r="J103" s="30" t="str">
        <f>IFERROR(VLOOKUP(I103,'Kode Data'!$E$9:$F$13,2,0)&amp;DATEVALUE(A103),"NA")</f>
        <v>NA</v>
      </c>
      <c r="K103" s="30" t="s">
        <v>138</v>
      </c>
      <c r="L103" s="30" t="s">
        <v>139</v>
      </c>
      <c r="M103" s="38">
        <v>46013</v>
      </c>
      <c r="N103" s="37">
        <f t="shared" si="0"/>
        <v>11</v>
      </c>
      <c r="O103" s="5" t="str">
        <f t="shared" si="1"/>
        <v>Terlambat/Cancel</v>
      </c>
    </row>
    <row r="104" spans="1:15" ht="14.5" x14ac:dyDescent="0.35">
      <c r="A104" s="29">
        <v>46003</v>
      </c>
      <c r="B104" s="30" t="s">
        <v>361</v>
      </c>
      <c r="C104" s="30" t="s">
        <v>68</v>
      </c>
      <c r="D104" s="31" t="s">
        <v>69</v>
      </c>
      <c r="E104" s="32" t="s">
        <v>351</v>
      </c>
      <c r="F104" s="32" t="s">
        <v>193</v>
      </c>
      <c r="G104" s="30">
        <v>500</v>
      </c>
      <c r="H104" s="30" t="s">
        <v>80</v>
      </c>
      <c r="I104" s="30" t="s">
        <v>158</v>
      </c>
      <c r="J104" s="30" t="str">
        <f>IFERROR(VLOOKUP(I104,'Kode Data'!$E$9:$F$13,2,0)&amp;DATEVALUE(A104),"NA")</f>
        <v>NA</v>
      </c>
      <c r="K104" s="30" t="s">
        <v>138</v>
      </c>
      <c r="L104" s="30" t="s">
        <v>139</v>
      </c>
      <c r="M104" s="38">
        <v>46011</v>
      </c>
      <c r="N104" s="37">
        <f t="shared" si="0"/>
        <v>8</v>
      </c>
      <c r="O104" s="5" t="str">
        <f t="shared" si="1"/>
        <v>Tepat Waktu</v>
      </c>
    </row>
    <row r="105" spans="1:15" ht="14.5" x14ac:dyDescent="0.35">
      <c r="A105" s="29">
        <v>46006</v>
      </c>
      <c r="B105" s="30" t="s">
        <v>362</v>
      </c>
      <c r="C105" s="30" t="s">
        <v>68</v>
      </c>
      <c r="D105" s="31" t="s">
        <v>69</v>
      </c>
      <c r="E105" s="32" t="s">
        <v>353</v>
      </c>
      <c r="F105" s="32" t="s">
        <v>193</v>
      </c>
      <c r="G105" s="30">
        <v>450</v>
      </c>
      <c r="H105" s="30" t="s">
        <v>80</v>
      </c>
      <c r="I105" s="30" t="s">
        <v>40</v>
      </c>
      <c r="J105" s="30" t="str">
        <f>IFERROR(VLOOKUP(I105,'Kode Data'!$E$9:$F$13,2,0)&amp;DATEVALUE(A105),"NA")</f>
        <v>NA</v>
      </c>
      <c r="K105" s="30" t="s">
        <v>138</v>
      </c>
      <c r="L105" s="30" t="s">
        <v>139</v>
      </c>
      <c r="M105" s="38">
        <v>46014</v>
      </c>
      <c r="N105" s="37">
        <f t="shared" si="0"/>
        <v>8</v>
      </c>
      <c r="O105" s="5" t="str">
        <f t="shared" si="1"/>
        <v>Tepat Waktu</v>
      </c>
    </row>
    <row r="106" spans="1:15" ht="14.5" x14ac:dyDescent="0.35">
      <c r="A106" s="29">
        <v>46018</v>
      </c>
      <c r="B106" s="30" t="s">
        <v>363</v>
      </c>
      <c r="C106" s="30" t="s">
        <v>60</v>
      </c>
      <c r="D106" s="31" t="s">
        <v>61</v>
      </c>
      <c r="E106" s="32" t="s">
        <v>355</v>
      </c>
      <c r="F106" s="32" t="s">
        <v>149</v>
      </c>
      <c r="G106" s="30">
        <v>600</v>
      </c>
      <c r="H106" s="30" t="s">
        <v>80</v>
      </c>
      <c r="I106" s="30" t="s">
        <v>144</v>
      </c>
      <c r="J106" s="30" t="str">
        <f>IFERROR(VLOOKUP(I106,'Kode Data'!$E$9:$F$13,2,0)&amp;DATEVALUE(A106),"NA")</f>
        <v>NA</v>
      </c>
      <c r="K106" s="30" t="s">
        <v>138</v>
      </c>
      <c r="L106" s="30" t="s">
        <v>356</v>
      </c>
      <c r="M106" s="30" t="s">
        <v>138</v>
      </c>
      <c r="N106" s="37" t="str">
        <f t="shared" si="0"/>
        <v>NA</v>
      </c>
      <c r="O106" s="5" t="str">
        <f t="shared" si="1"/>
        <v>Terlambat/Cancel</v>
      </c>
    </row>
    <row r="107" spans="1:15" ht="14.5" x14ac:dyDescent="0.35">
      <c r="A107" s="29">
        <v>46019</v>
      </c>
      <c r="B107" s="30" t="s">
        <v>364</v>
      </c>
      <c r="C107" s="30" t="s">
        <v>62</v>
      </c>
      <c r="D107" s="31" t="s">
        <v>63</v>
      </c>
      <c r="E107" s="32" t="s">
        <v>358</v>
      </c>
      <c r="F107" s="32" t="s">
        <v>154</v>
      </c>
      <c r="G107" s="30">
        <v>900</v>
      </c>
      <c r="H107" s="30" t="s">
        <v>80</v>
      </c>
      <c r="I107" s="30" t="s">
        <v>144</v>
      </c>
      <c r="J107" s="30" t="str">
        <f>IFERROR(VLOOKUP(I107,'Kode Data'!$E$9:$F$13,2,0)&amp;DATEVALUE(A107),"NA")</f>
        <v>NA</v>
      </c>
      <c r="K107" s="30" t="s">
        <v>138</v>
      </c>
      <c r="L107" s="30" t="s">
        <v>139</v>
      </c>
      <c r="M107" s="38">
        <v>46022</v>
      </c>
      <c r="N107" s="37">
        <f t="shared" si="0"/>
        <v>3</v>
      </c>
      <c r="O107" s="5" t="str">
        <f t="shared" si="1"/>
        <v>Tepat Waktu</v>
      </c>
    </row>
  </sheetData>
  <autoFilter ref="A1:O107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5A4B-EC6A-4187-9AF0-E037CE77D48B}">
  <dimension ref="B2:W103"/>
  <sheetViews>
    <sheetView tabSelected="1" workbookViewId="0">
      <selection activeCell="D16" sqref="D16"/>
    </sheetView>
  </sheetViews>
  <sheetFormatPr defaultRowHeight="12.5" x14ac:dyDescent="0.25"/>
  <cols>
    <col min="2" max="2" width="25.453125" bestFit="1" customWidth="1"/>
    <col min="3" max="3" width="16.54296875" bestFit="1" customWidth="1"/>
    <col min="4" max="4" width="16.453125" bestFit="1" customWidth="1"/>
    <col min="5" max="5" width="23" bestFit="1" customWidth="1"/>
    <col min="6" max="6" width="20" bestFit="1" customWidth="1"/>
    <col min="8" max="8" width="30.6328125" bestFit="1" customWidth="1"/>
    <col min="9" max="9" width="19.90625" bestFit="1" customWidth="1"/>
    <col min="11" max="11" width="13" bestFit="1" customWidth="1"/>
    <col min="12" max="12" width="19.90625" bestFit="1" customWidth="1"/>
    <col min="14" max="14" width="17.26953125" bestFit="1" customWidth="1"/>
    <col min="15" max="15" width="24.453125" bestFit="1" customWidth="1"/>
    <col min="17" max="17" width="19.90625" bestFit="1" customWidth="1"/>
    <col min="18" max="18" width="24.7265625" bestFit="1" customWidth="1"/>
    <col min="19" max="19" width="24.81640625" bestFit="1" customWidth="1"/>
    <col min="20" max="20" width="27.6328125" bestFit="1" customWidth="1"/>
    <col min="21" max="21" width="26.453125" bestFit="1" customWidth="1"/>
    <col min="22" max="22" width="23.54296875" bestFit="1" customWidth="1"/>
    <col min="23" max="23" width="11.08984375" bestFit="1" customWidth="1"/>
    <col min="24" max="24" width="3.36328125" bestFit="1" customWidth="1"/>
    <col min="25" max="25" width="4.1796875" bestFit="1" customWidth="1"/>
    <col min="26" max="26" width="4.08984375" bestFit="1" customWidth="1"/>
    <col min="27" max="27" width="3.90625" bestFit="1" customWidth="1"/>
    <col min="28" max="28" width="4.1796875" bestFit="1" customWidth="1"/>
    <col min="29" max="29" width="4.08984375" bestFit="1" customWidth="1"/>
    <col min="30" max="30" width="11.08984375" bestFit="1" customWidth="1"/>
    <col min="31" max="103" width="9.90625" bestFit="1" customWidth="1"/>
    <col min="104" max="104" width="11.08984375" bestFit="1" customWidth="1"/>
  </cols>
  <sheetData>
    <row r="2" spans="2:23" x14ac:dyDescent="0.25">
      <c r="B2" s="22" t="s">
        <v>383</v>
      </c>
      <c r="C2" s="22" t="s">
        <v>384</v>
      </c>
      <c r="E2" s="22" t="s">
        <v>380</v>
      </c>
      <c r="F2" s="22" t="s">
        <v>385</v>
      </c>
      <c r="H2" s="22" t="s">
        <v>380</v>
      </c>
      <c r="I2" s="22" t="s">
        <v>387</v>
      </c>
      <c r="K2" s="22" t="s">
        <v>380</v>
      </c>
      <c r="L2" s="22" t="s">
        <v>387</v>
      </c>
      <c r="N2" s="22" t="s">
        <v>380</v>
      </c>
      <c r="O2" s="22" t="s">
        <v>388</v>
      </c>
      <c r="Q2" s="25" t="s">
        <v>387</v>
      </c>
      <c r="R2" s="25" t="s">
        <v>390</v>
      </c>
      <c r="S2" s="25"/>
      <c r="T2" s="25"/>
      <c r="U2" s="25"/>
      <c r="V2" s="25"/>
      <c r="W2" s="25"/>
    </row>
    <row r="3" spans="2:23" x14ac:dyDescent="0.25">
      <c r="B3" s="7" t="s">
        <v>27</v>
      </c>
      <c r="C3" s="8">
        <v>280</v>
      </c>
      <c r="E3" s="7" t="s">
        <v>89</v>
      </c>
      <c r="F3" s="8">
        <v>29970</v>
      </c>
      <c r="H3" s="7" t="s">
        <v>317</v>
      </c>
      <c r="I3" s="8">
        <v>700</v>
      </c>
      <c r="K3" s="7" t="s">
        <v>137</v>
      </c>
      <c r="L3" s="8">
        <v>2400</v>
      </c>
      <c r="N3" s="7" t="s">
        <v>144</v>
      </c>
      <c r="O3" s="8">
        <v>66</v>
      </c>
      <c r="Q3" s="25" t="s">
        <v>380</v>
      </c>
      <c r="R3" s="25" t="s">
        <v>69</v>
      </c>
      <c r="S3" s="25" t="s">
        <v>67</v>
      </c>
      <c r="T3" s="25" t="s">
        <v>65</v>
      </c>
      <c r="U3" s="25" t="s">
        <v>61</v>
      </c>
      <c r="V3" s="25" t="s">
        <v>63</v>
      </c>
      <c r="W3" s="25" t="s">
        <v>365</v>
      </c>
    </row>
    <row r="4" spans="2:23" x14ac:dyDescent="0.25">
      <c r="B4" s="7" t="s">
        <v>59</v>
      </c>
      <c r="C4" s="8">
        <v>350</v>
      </c>
      <c r="E4" s="7" t="s">
        <v>79</v>
      </c>
      <c r="F4" s="8">
        <v>28880</v>
      </c>
      <c r="H4" s="7" t="s">
        <v>173</v>
      </c>
      <c r="I4" s="8">
        <v>400</v>
      </c>
      <c r="K4" s="7" t="s">
        <v>149</v>
      </c>
      <c r="L4" s="8">
        <v>11250</v>
      </c>
      <c r="N4" s="7" t="s">
        <v>32</v>
      </c>
      <c r="O4" s="8">
        <v>3</v>
      </c>
      <c r="Q4" s="7" t="s">
        <v>366</v>
      </c>
      <c r="R4" s="8">
        <v>1500</v>
      </c>
      <c r="S4" s="8">
        <v>400</v>
      </c>
      <c r="T4" s="8">
        <v>1650</v>
      </c>
      <c r="U4" s="8">
        <v>900</v>
      </c>
      <c r="V4" s="8">
        <v>750</v>
      </c>
      <c r="W4" s="8">
        <v>5200</v>
      </c>
    </row>
    <row r="5" spans="2:23" x14ac:dyDescent="0.25">
      <c r="B5" s="7" t="s">
        <v>39</v>
      </c>
      <c r="C5" s="8">
        <v>410</v>
      </c>
      <c r="E5" s="7" t="s">
        <v>98</v>
      </c>
      <c r="F5" s="8">
        <v>14920</v>
      </c>
      <c r="H5" s="7" t="s">
        <v>186</v>
      </c>
      <c r="I5" s="8">
        <v>500</v>
      </c>
      <c r="K5" s="7" t="s">
        <v>164</v>
      </c>
      <c r="L5" s="8">
        <v>2450</v>
      </c>
      <c r="N5" s="7" t="s">
        <v>48</v>
      </c>
      <c r="O5" s="8">
        <v>9</v>
      </c>
      <c r="Q5" s="7" t="s">
        <v>367</v>
      </c>
      <c r="R5" s="8">
        <v>400</v>
      </c>
      <c r="S5" s="8">
        <v>500</v>
      </c>
      <c r="T5" s="8">
        <v>1400</v>
      </c>
      <c r="U5" s="8">
        <v>1000</v>
      </c>
      <c r="V5" s="8">
        <v>900</v>
      </c>
      <c r="W5" s="8">
        <v>4200</v>
      </c>
    </row>
    <row r="6" spans="2:23" x14ac:dyDescent="0.25">
      <c r="B6" s="7" t="s">
        <v>43</v>
      </c>
      <c r="C6" s="8">
        <v>730</v>
      </c>
      <c r="E6" s="7" t="s">
        <v>82</v>
      </c>
      <c r="F6" s="8">
        <v>13900</v>
      </c>
      <c r="H6" s="7" t="s">
        <v>229</v>
      </c>
      <c r="I6" s="8">
        <v>400</v>
      </c>
      <c r="K6" s="7" t="s">
        <v>167</v>
      </c>
      <c r="L6" s="8">
        <v>2100</v>
      </c>
      <c r="N6" s="7" t="s">
        <v>158</v>
      </c>
      <c r="O6" s="8">
        <v>11</v>
      </c>
      <c r="Q6" s="7" t="s">
        <v>368</v>
      </c>
      <c r="R6" s="8">
        <v>500</v>
      </c>
      <c r="S6" s="8">
        <v>300</v>
      </c>
      <c r="T6" s="8">
        <v>1450</v>
      </c>
      <c r="U6" s="8">
        <v>1200</v>
      </c>
      <c r="V6" s="8">
        <v>1100</v>
      </c>
      <c r="W6" s="8">
        <v>4550</v>
      </c>
    </row>
    <row r="7" spans="2:23" x14ac:dyDescent="0.25">
      <c r="B7" s="7" t="s">
        <v>35</v>
      </c>
      <c r="C7" s="8">
        <v>880</v>
      </c>
      <c r="E7" s="7" t="s">
        <v>86</v>
      </c>
      <c r="F7" s="8">
        <v>11700</v>
      </c>
      <c r="H7" s="7" t="s">
        <v>203</v>
      </c>
      <c r="I7" s="8">
        <v>300</v>
      </c>
      <c r="K7" s="7" t="s">
        <v>193</v>
      </c>
      <c r="L7" s="8">
        <v>7450</v>
      </c>
      <c r="N7" s="7" t="s">
        <v>40</v>
      </c>
      <c r="O7" s="8">
        <v>8</v>
      </c>
      <c r="Q7" s="7" t="s">
        <v>369</v>
      </c>
      <c r="R7" s="8">
        <v>850</v>
      </c>
      <c r="S7" s="8">
        <v>400</v>
      </c>
      <c r="T7" s="8">
        <v>2700</v>
      </c>
      <c r="U7" s="8">
        <v>900</v>
      </c>
      <c r="V7" s="8">
        <v>850</v>
      </c>
      <c r="W7" s="8">
        <v>5700</v>
      </c>
    </row>
    <row r="8" spans="2:23" x14ac:dyDescent="0.25">
      <c r="B8" s="7" t="s">
        <v>31</v>
      </c>
      <c r="C8" s="8">
        <v>940</v>
      </c>
      <c r="E8" s="7" t="s">
        <v>97</v>
      </c>
      <c r="F8" s="8">
        <v>11200</v>
      </c>
      <c r="H8" s="7" t="s">
        <v>142</v>
      </c>
      <c r="I8" s="8">
        <v>400</v>
      </c>
      <c r="K8" s="7" t="s">
        <v>157</v>
      </c>
      <c r="L8" s="8">
        <v>6900</v>
      </c>
      <c r="N8" s="7" t="s">
        <v>44</v>
      </c>
      <c r="O8" s="8">
        <v>9</v>
      </c>
      <c r="Q8" s="7" t="s">
        <v>370</v>
      </c>
      <c r="R8" s="8">
        <v>500</v>
      </c>
      <c r="S8" s="8">
        <v>350</v>
      </c>
      <c r="T8" s="8">
        <v>1800</v>
      </c>
      <c r="U8" s="8">
        <v>1300</v>
      </c>
      <c r="V8" s="8">
        <v>1100</v>
      </c>
      <c r="W8" s="8">
        <v>5050</v>
      </c>
    </row>
    <row r="9" spans="2:23" x14ac:dyDescent="0.25">
      <c r="B9" s="7" t="s">
        <v>15</v>
      </c>
      <c r="C9" s="8">
        <v>1640</v>
      </c>
      <c r="E9" s="7" t="s">
        <v>99</v>
      </c>
      <c r="F9" s="8">
        <v>8400</v>
      </c>
      <c r="H9" s="7" t="s">
        <v>331</v>
      </c>
      <c r="I9" s="8">
        <v>500</v>
      </c>
      <c r="K9" s="7" t="s">
        <v>212</v>
      </c>
      <c r="L9" s="8">
        <v>1500</v>
      </c>
      <c r="N9" s="26" t="s">
        <v>365</v>
      </c>
      <c r="O9" s="27">
        <v>106</v>
      </c>
      <c r="Q9" s="7" t="s">
        <v>371</v>
      </c>
      <c r="R9" s="8">
        <v>450</v>
      </c>
      <c r="S9" s="8">
        <v>450</v>
      </c>
      <c r="T9" s="8">
        <v>1800</v>
      </c>
      <c r="U9" s="8">
        <v>1100</v>
      </c>
      <c r="V9" s="8">
        <v>1300</v>
      </c>
      <c r="W9" s="8">
        <v>5100</v>
      </c>
    </row>
    <row r="10" spans="2:23" x14ac:dyDescent="0.25">
      <c r="B10" s="7" t="s">
        <v>67</v>
      </c>
      <c r="C10" s="8">
        <v>1850</v>
      </c>
      <c r="E10" s="7" t="s">
        <v>109</v>
      </c>
      <c r="F10" s="8">
        <v>8100</v>
      </c>
      <c r="H10" s="7" t="s">
        <v>281</v>
      </c>
      <c r="I10" s="8">
        <v>650</v>
      </c>
      <c r="K10" s="7" t="s">
        <v>219</v>
      </c>
      <c r="L10" s="8">
        <v>3250</v>
      </c>
      <c r="Q10" s="7" t="s">
        <v>372</v>
      </c>
      <c r="R10" s="8">
        <v>950</v>
      </c>
      <c r="S10" s="8">
        <v>300</v>
      </c>
      <c r="T10" s="8">
        <v>1200</v>
      </c>
      <c r="U10" s="8">
        <v>1200</v>
      </c>
      <c r="V10" s="8">
        <v>1100</v>
      </c>
      <c r="W10" s="8">
        <v>4750</v>
      </c>
    </row>
    <row r="11" spans="2:23" x14ac:dyDescent="0.25">
      <c r="B11" s="7" t="s">
        <v>61</v>
      </c>
      <c r="C11" s="8">
        <v>2100</v>
      </c>
      <c r="E11" s="7" t="s">
        <v>92</v>
      </c>
      <c r="F11" s="8">
        <v>7700</v>
      </c>
      <c r="H11" s="7" t="s">
        <v>355</v>
      </c>
      <c r="I11" s="8">
        <v>1000</v>
      </c>
      <c r="K11" s="7" t="s">
        <v>143</v>
      </c>
      <c r="L11" s="8">
        <v>5500</v>
      </c>
      <c r="N11" s="21" t="s">
        <v>380</v>
      </c>
      <c r="O11" s="21" t="s">
        <v>388</v>
      </c>
      <c r="Q11" s="7" t="s">
        <v>373</v>
      </c>
      <c r="R11" s="8">
        <v>500</v>
      </c>
      <c r="S11" s="8"/>
      <c r="T11" s="8">
        <v>600</v>
      </c>
      <c r="U11" s="8">
        <v>1300</v>
      </c>
      <c r="V11" s="8">
        <v>1500</v>
      </c>
      <c r="W11" s="8">
        <v>3900</v>
      </c>
    </row>
    <row r="12" spans="2:23" x14ac:dyDescent="0.25">
      <c r="B12" s="7" t="s">
        <v>57</v>
      </c>
      <c r="C12" s="8">
        <v>2200</v>
      </c>
      <c r="E12" s="7" t="s">
        <v>114</v>
      </c>
      <c r="F12" s="8">
        <v>6500</v>
      </c>
      <c r="H12" s="7" t="s">
        <v>199</v>
      </c>
      <c r="I12" s="8">
        <v>400</v>
      </c>
      <c r="K12" s="7" t="s">
        <v>154</v>
      </c>
      <c r="L12" s="8">
        <v>12750</v>
      </c>
      <c r="N12" s="7" t="s">
        <v>378</v>
      </c>
      <c r="O12" s="8">
        <v>72</v>
      </c>
      <c r="Q12" s="7" t="s">
        <v>374</v>
      </c>
      <c r="R12" s="8">
        <v>950</v>
      </c>
      <c r="S12" s="8">
        <v>450</v>
      </c>
      <c r="T12" s="8"/>
      <c r="U12" s="8">
        <v>1100</v>
      </c>
      <c r="V12" s="8">
        <v>1300</v>
      </c>
      <c r="W12" s="8">
        <v>3800</v>
      </c>
    </row>
    <row r="13" spans="2:23" x14ac:dyDescent="0.25">
      <c r="B13" s="7" t="s">
        <v>25</v>
      </c>
      <c r="C13" s="8">
        <v>2410</v>
      </c>
      <c r="E13" s="7" t="s">
        <v>84</v>
      </c>
      <c r="F13" s="8">
        <v>6050</v>
      </c>
      <c r="H13" s="7" t="s">
        <v>321</v>
      </c>
      <c r="I13" s="8">
        <v>600</v>
      </c>
      <c r="K13" s="26" t="s">
        <v>365</v>
      </c>
      <c r="L13" s="27">
        <v>55550</v>
      </c>
      <c r="N13" s="7" t="s">
        <v>389</v>
      </c>
      <c r="O13" s="8">
        <v>34</v>
      </c>
      <c r="Q13" s="7" t="s">
        <v>375</v>
      </c>
      <c r="R13" s="8">
        <v>950</v>
      </c>
      <c r="S13" s="8"/>
      <c r="T13" s="8"/>
      <c r="U13" s="8">
        <v>1200</v>
      </c>
      <c r="V13" s="8">
        <v>1700</v>
      </c>
      <c r="W13" s="8">
        <v>3850</v>
      </c>
    </row>
    <row r="14" spans="2:23" x14ac:dyDescent="0.25">
      <c r="B14" s="7" t="s">
        <v>65</v>
      </c>
      <c r="C14" s="8">
        <v>2800</v>
      </c>
      <c r="E14" s="7" t="s">
        <v>108</v>
      </c>
      <c r="F14" s="8">
        <v>5300</v>
      </c>
      <c r="H14" s="7" t="s">
        <v>299</v>
      </c>
      <c r="I14" s="8">
        <v>600</v>
      </c>
      <c r="N14" s="26" t="s">
        <v>365</v>
      </c>
      <c r="O14" s="27">
        <v>106</v>
      </c>
      <c r="Q14" s="7" t="s">
        <v>376</v>
      </c>
      <c r="R14" s="8">
        <v>950</v>
      </c>
      <c r="S14" s="8">
        <v>350</v>
      </c>
      <c r="T14" s="8"/>
      <c r="U14" s="8">
        <v>1300</v>
      </c>
      <c r="V14" s="8">
        <v>1300</v>
      </c>
      <c r="W14" s="8">
        <v>3900</v>
      </c>
    </row>
    <row r="15" spans="2:23" x14ac:dyDescent="0.25">
      <c r="B15" s="7" t="s">
        <v>10</v>
      </c>
      <c r="C15" s="8">
        <v>2800</v>
      </c>
      <c r="E15" s="7" t="s">
        <v>102</v>
      </c>
      <c r="F15" s="8">
        <v>5100</v>
      </c>
      <c r="H15" s="7" t="s">
        <v>207</v>
      </c>
      <c r="I15" s="8">
        <v>500</v>
      </c>
      <c r="Q15" s="7" t="s">
        <v>377</v>
      </c>
      <c r="R15" s="8">
        <v>2350</v>
      </c>
      <c r="S15" s="8">
        <v>400</v>
      </c>
      <c r="T15" s="8"/>
      <c r="U15" s="8">
        <v>1100</v>
      </c>
      <c r="V15" s="8">
        <v>1700</v>
      </c>
      <c r="W15" s="8">
        <v>5550</v>
      </c>
    </row>
    <row r="16" spans="2:23" x14ac:dyDescent="0.25">
      <c r="B16" s="7" t="s">
        <v>20</v>
      </c>
      <c r="C16" s="8">
        <v>2900</v>
      </c>
      <c r="E16" s="7" t="s">
        <v>113</v>
      </c>
      <c r="F16" s="8">
        <v>5000</v>
      </c>
      <c r="H16" s="7" t="s">
        <v>279</v>
      </c>
      <c r="I16" s="8">
        <v>450</v>
      </c>
      <c r="N16" s="23" t="s">
        <v>378</v>
      </c>
      <c r="O16" s="24">
        <f>'Tracking Distribusi Barang'!R2/'Tracking Distribusi Barang'!R4*100%</f>
        <v>0.67924528301886788</v>
      </c>
      <c r="Q16" s="26" t="s">
        <v>365</v>
      </c>
      <c r="R16" s="27">
        <v>10850</v>
      </c>
      <c r="S16" s="27">
        <v>3900</v>
      </c>
      <c r="T16" s="27">
        <v>12600</v>
      </c>
      <c r="U16" s="27">
        <v>13600</v>
      </c>
      <c r="V16" s="27">
        <v>14600</v>
      </c>
      <c r="W16" s="27">
        <v>55550</v>
      </c>
    </row>
    <row r="17" spans="2:15" x14ac:dyDescent="0.25">
      <c r="B17" s="7" t="s">
        <v>63</v>
      </c>
      <c r="C17" s="8">
        <v>3100</v>
      </c>
      <c r="E17" s="7" t="s">
        <v>91</v>
      </c>
      <c r="F17" s="8">
        <v>4550</v>
      </c>
      <c r="H17" s="7" t="s">
        <v>275</v>
      </c>
      <c r="I17" s="8">
        <v>600</v>
      </c>
      <c r="N17" s="23" t="s">
        <v>379</v>
      </c>
      <c r="O17" s="24">
        <f>'Tracking Distribusi Barang'!R3/'Tracking Distribusi Barang'!R4*100%</f>
        <v>0.32075471698113206</v>
      </c>
    </row>
    <row r="18" spans="2:15" x14ac:dyDescent="0.25">
      <c r="B18" s="7" t="s">
        <v>5</v>
      </c>
      <c r="C18" s="8">
        <v>3700</v>
      </c>
      <c r="E18" s="7" t="s">
        <v>83</v>
      </c>
      <c r="F18" s="8">
        <v>4450</v>
      </c>
      <c r="H18" s="7" t="s">
        <v>325</v>
      </c>
      <c r="I18" s="8">
        <v>700</v>
      </c>
    </row>
    <row r="19" spans="2:15" x14ac:dyDescent="0.25">
      <c r="B19" s="7" t="s">
        <v>69</v>
      </c>
      <c r="C19" s="8">
        <v>3750</v>
      </c>
      <c r="E19" s="7" t="s">
        <v>103</v>
      </c>
      <c r="F19" s="8">
        <v>4200</v>
      </c>
      <c r="H19" s="7" t="s">
        <v>273</v>
      </c>
      <c r="I19" s="8">
        <v>600</v>
      </c>
    </row>
    <row r="20" spans="2:15" x14ac:dyDescent="0.25">
      <c r="B20" s="7" t="s">
        <v>47</v>
      </c>
      <c r="C20" s="8">
        <v>5520</v>
      </c>
      <c r="E20" s="7" t="s">
        <v>120</v>
      </c>
      <c r="F20" s="8">
        <v>4200</v>
      </c>
      <c r="H20" s="7" t="s">
        <v>247</v>
      </c>
      <c r="I20" s="8">
        <v>600</v>
      </c>
    </row>
    <row r="21" spans="2:15" x14ac:dyDescent="0.25">
      <c r="B21" s="7" t="s">
        <v>53</v>
      </c>
      <c r="C21" s="8">
        <v>9350</v>
      </c>
      <c r="E21" s="7" t="s">
        <v>123</v>
      </c>
      <c r="F21" s="8">
        <v>3100</v>
      </c>
      <c r="H21" s="7" t="s">
        <v>239</v>
      </c>
      <c r="I21" s="8">
        <v>400</v>
      </c>
    </row>
    <row r="22" spans="2:15" x14ac:dyDescent="0.25">
      <c r="B22" s="7" t="s">
        <v>55</v>
      </c>
      <c r="C22" s="8">
        <v>14450</v>
      </c>
      <c r="E22" s="7" t="s">
        <v>118</v>
      </c>
      <c r="F22" s="8">
        <v>3050</v>
      </c>
      <c r="H22" s="7" t="s">
        <v>182</v>
      </c>
      <c r="I22" s="8">
        <v>500</v>
      </c>
    </row>
    <row r="23" spans="2:15" x14ac:dyDescent="0.25">
      <c r="B23" s="7" t="s">
        <v>51</v>
      </c>
      <c r="C23" s="8">
        <v>17100</v>
      </c>
      <c r="E23" s="7" t="s">
        <v>124</v>
      </c>
      <c r="F23" s="8">
        <v>2400</v>
      </c>
      <c r="H23" s="7" t="s">
        <v>339</v>
      </c>
      <c r="I23" s="8">
        <v>600</v>
      </c>
    </row>
    <row r="24" spans="2:15" x14ac:dyDescent="0.25">
      <c r="B24" s="26" t="s">
        <v>365</v>
      </c>
      <c r="C24" s="27">
        <v>79260</v>
      </c>
      <c r="E24" s="7" t="s">
        <v>95</v>
      </c>
      <c r="F24" s="8">
        <v>1670</v>
      </c>
      <c r="H24" s="7" t="s">
        <v>255</v>
      </c>
      <c r="I24" s="8">
        <v>600</v>
      </c>
    </row>
    <row r="25" spans="2:15" x14ac:dyDescent="0.25">
      <c r="E25" s="7" t="s">
        <v>107</v>
      </c>
      <c r="F25" s="8">
        <v>1210</v>
      </c>
      <c r="H25" s="7" t="s">
        <v>265</v>
      </c>
      <c r="I25" s="8">
        <v>500</v>
      </c>
    </row>
    <row r="26" spans="2:15" x14ac:dyDescent="0.25">
      <c r="E26" s="7" t="s">
        <v>117</v>
      </c>
      <c r="F26" s="8">
        <v>1160</v>
      </c>
      <c r="H26" s="7" t="s">
        <v>287</v>
      </c>
      <c r="I26" s="8">
        <v>450</v>
      </c>
    </row>
    <row r="27" spans="2:15" x14ac:dyDescent="0.25">
      <c r="E27" s="7" t="s">
        <v>119</v>
      </c>
      <c r="F27" s="8">
        <v>1010</v>
      </c>
      <c r="H27" s="7" t="s">
        <v>245</v>
      </c>
      <c r="I27" s="8">
        <v>600</v>
      </c>
    </row>
    <row r="28" spans="2:15" x14ac:dyDescent="0.25">
      <c r="E28" s="7" t="s">
        <v>101</v>
      </c>
      <c r="F28" s="8">
        <v>980</v>
      </c>
      <c r="H28" s="7" t="s">
        <v>297</v>
      </c>
      <c r="I28" s="8">
        <v>300</v>
      </c>
    </row>
    <row r="29" spans="2:15" x14ac:dyDescent="0.25">
      <c r="E29" s="7" t="s">
        <v>112</v>
      </c>
      <c r="F29" s="8">
        <v>950</v>
      </c>
      <c r="H29" s="7" t="s">
        <v>315</v>
      </c>
      <c r="I29" s="8">
        <v>450</v>
      </c>
    </row>
    <row r="30" spans="2:15" x14ac:dyDescent="0.25">
      <c r="E30" s="7" t="s">
        <v>115</v>
      </c>
      <c r="F30" s="8">
        <v>845</v>
      </c>
      <c r="H30" s="7" t="s">
        <v>289</v>
      </c>
      <c r="I30" s="8">
        <v>500</v>
      </c>
    </row>
    <row r="31" spans="2:15" x14ac:dyDescent="0.25">
      <c r="E31" s="7" t="s">
        <v>100</v>
      </c>
      <c r="F31" s="8">
        <v>820</v>
      </c>
      <c r="H31" s="7" t="s">
        <v>293</v>
      </c>
      <c r="I31" s="8">
        <v>600</v>
      </c>
    </row>
    <row r="32" spans="2:15" x14ac:dyDescent="0.25">
      <c r="E32" s="7" t="s">
        <v>106</v>
      </c>
      <c r="F32" s="8">
        <v>820</v>
      </c>
      <c r="H32" s="7" t="s">
        <v>216</v>
      </c>
      <c r="I32" s="8">
        <v>550</v>
      </c>
    </row>
    <row r="33" spans="5:9" x14ac:dyDescent="0.25">
      <c r="E33" s="7" t="s">
        <v>94</v>
      </c>
      <c r="F33" s="8">
        <v>450</v>
      </c>
      <c r="H33" s="7" t="s">
        <v>156</v>
      </c>
      <c r="I33" s="8">
        <v>400</v>
      </c>
    </row>
    <row r="34" spans="5:9" x14ac:dyDescent="0.25">
      <c r="E34" s="7" t="s">
        <v>105</v>
      </c>
      <c r="F34" s="8">
        <v>450</v>
      </c>
      <c r="H34" s="7" t="s">
        <v>209</v>
      </c>
      <c r="I34" s="8">
        <v>700</v>
      </c>
    </row>
    <row r="35" spans="5:9" x14ac:dyDescent="0.25">
      <c r="E35" s="7" t="s">
        <v>121</v>
      </c>
      <c r="F35" s="8">
        <v>380</v>
      </c>
      <c r="H35" s="7" t="s">
        <v>291</v>
      </c>
      <c r="I35" s="8">
        <v>700</v>
      </c>
    </row>
    <row r="36" spans="5:9" x14ac:dyDescent="0.25">
      <c r="E36" s="7" t="s">
        <v>122</v>
      </c>
      <c r="F36" s="8">
        <v>380</v>
      </c>
      <c r="H36" s="7" t="s">
        <v>311</v>
      </c>
      <c r="I36" s="8">
        <v>450</v>
      </c>
    </row>
    <row r="37" spans="5:9" x14ac:dyDescent="0.25">
      <c r="E37" s="7" t="s">
        <v>111</v>
      </c>
      <c r="F37" s="8">
        <v>360</v>
      </c>
      <c r="H37" s="7" t="s">
        <v>267</v>
      </c>
      <c r="I37" s="8">
        <v>650</v>
      </c>
    </row>
    <row r="38" spans="5:9" x14ac:dyDescent="0.25">
      <c r="E38" s="26" t="s">
        <v>365</v>
      </c>
      <c r="F38" s="27">
        <v>200155</v>
      </c>
      <c r="H38" s="7" t="s">
        <v>201</v>
      </c>
      <c r="I38" s="8">
        <v>500</v>
      </c>
    </row>
    <row r="39" spans="5:9" x14ac:dyDescent="0.25">
      <c r="H39" s="7" t="s">
        <v>180</v>
      </c>
      <c r="I39" s="8">
        <v>350</v>
      </c>
    </row>
    <row r="40" spans="5:9" x14ac:dyDescent="0.25">
      <c r="H40" s="7" t="s">
        <v>349</v>
      </c>
      <c r="I40" s="8">
        <v>1300</v>
      </c>
    </row>
    <row r="41" spans="5:9" x14ac:dyDescent="0.25">
      <c r="H41" s="7" t="s">
        <v>153</v>
      </c>
      <c r="I41" s="8">
        <v>500</v>
      </c>
    </row>
    <row r="42" spans="5:9" x14ac:dyDescent="0.25">
      <c r="H42" s="7" t="s">
        <v>233</v>
      </c>
      <c r="I42" s="8">
        <v>600</v>
      </c>
    </row>
    <row r="43" spans="5:9" x14ac:dyDescent="0.25">
      <c r="H43" s="7" t="s">
        <v>337</v>
      </c>
      <c r="I43" s="8">
        <v>350</v>
      </c>
    </row>
    <row r="44" spans="5:9" x14ac:dyDescent="0.25">
      <c r="H44" s="7" t="s">
        <v>303</v>
      </c>
      <c r="I44" s="8">
        <v>600</v>
      </c>
    </row>
    <row r="45" spans="5:9" x14ac:dyDescent="0.25">
      <c r="H45" s="7" t="s">
        <v>205</v>
      </c>
      <c r="I45" s="8">
        <v>600</v>
      </c>
    </row>
    <row r="46" spans="5:9" x14ac:dyDescent="0.25">
      <c r="H46" s="7" t="s">
        <v>295</v>
      </c>
      <c r="I46" s="8">
        <v>500</v>
      </c>
    </row>
    <row r="47" spans="5:9" x14ac:dyDescent="0.25">
      <c r="H47" s="7" t="s">
        <v>335</v>
      </c>
      <c r="I47" s="8">
        <v>900</v>
      </c>
    </row>
    <row r="48" spans="5:9" x14ac:dyDescent="0.25">
      <c r="H48" s="7" t="s">
        <v>305</v>
      </c>
      <c r="I48" s="8">
        <v>700</v>
      </c>
    </row>
    <row r="49" spans="8:9" x14ac:dyDescent="0.25">
      <c r="H49" s="7" t="s">
        <v>178</v>
      </c>
      <c r="I49" s="8">
        <v>500</v>
      </c>
    </row>
    <row r="50" spans="8:9" x14ac:dyDescent="0.25">
      <c r="H50" s="7" t="s">
        <v>343</v>
      </c>
      <c r="I50" s="8">
        <v>450</v>
      </c>
    </row>
    <row r="51" spans="8:9" x14ac:dyDescent="0.25">
      <c r="H51" s="7" t="s">
        <v>319</v>
      </c>
      <c r="I51" s="8">
        <v>500</v>
      </c>
    </row>
    <row r="52" spans="8:9" x14ac:dyDescent="0.25">
      <c r="H52" s="7" t="s">
        <v>231</v>
      </c>
      <c r="I52" s="8">
        <v>550</v>
      </c>
    </row>
    <row r="53" spans="8:9" x14ac:dyDescent="0.25">
      <c r="H53" s="7" t="s">
        <v>327</v>
      </c>
      <c r="I53" s="8">
        <v>800</v>
      </c>
    </row>
    <row r="54" spans="8:9" x14ac:dyDescent="0.25">
      <c r="H54" s="7" t="s">
        <v>277</v>
      </c>
      <c r="I54" s="8">
        <v>600</v>
      </c>
    </row>
    <row r="55" spans="8:9" x14ac:dyDescent="0.25">
      <c r="H55" s="7" t="s">
        <v>223</v>
      </c>
      <c r="I55" s="8">
        <v>550</v>
      </c>
    </row>
    <row r="56" spans="8:9" x14ac:dyDescent="0.25">
      <c r="H56" s="7" t="s">
        <v>221</v>
      </c>
      <c r="I56" s="8">
        <v>500</v>
      </c>
    </row>
    <row r="57" spans="8:9" x14ac:dyDescent="0.25">
      <c r="H57" s="7" t="s">
        <v>214</v>
      </c>
      <c r="I57" s="8">
        <v>500</v>
      </c>
    </row>
    <row r="58" spans="8:9" x14ac:dyDescent="0.25">
      <c r="H58" s="7" t="s">
        <v>136</v>
      </c>
      <c r="I58" s="8">
        <v>400</v>
      </c>
    </row>
    <row r="59" spans="8:9" x14ac:dyDescent="0.25">
      <c r="H59" s="7" t="s">
        <v>170</v>
      </c>
      <c r="I59" s="8">
        <v>400</v>
      </c>
    </row>
    <row r="60" spans="8:9" x14ac:dyDescent="0.25">
      <c r="H60" s="7" t="s">
        <v>257</v>
      </c>
      <c r="I60" s="8">
        <v>500</v>
      </c>
    </row>
    <row r="61" spans="8:9" x14ac:dyDescent="0.25">
      <c r="H61" s="7" t="s">
        <v>285</v>
      </c>
      <c r="I61" s="8">
        <v>550</v>
      </c>
    </row>
    <row r="62" spans="8:9" x14ac:dyDescent="0.25">
      <c r="H62" s="7" t="s">
        <v>225</v>
      </c>
      <c r="I62" s="8">
        <v>500</v>
      </c>
    </row>
    <row r="63" spans="8:9" x14ac:dyDescent="0.25">
      <c r="H63" s="7" t="s">
        <v>323</v>
      </c>
      <c r="I63" s="8">
        <v>600</v>
      </c>
    </row>
    <row r="64" spans="8:9" x14ac:dyDescent="0.25">
      <c r="H64" s="7" t="s">
        <v>211</v>
      </c>
      <c r="I64" s="8">
        <v>400</v>
      </c>
    </row>
    <row r="65" spans="8:9" x14ac:dyDescent="0.25">
      <c r="H65" s="7" t="s">
        <v>192</v>
      </c>
      <c r="I65" s="8">
        <v>500</v>
      </c>
    </row>
    <row r="66" spans="8:9" x14ac:dyDescent="0.25">
      <c r="H66" s="7" t="s">
        <v>341</v>
      </c>
      <c r="I66" s="8">
        <v>600</v>
      </c>
    </row>
    <row r="67" spans="8:9" x14ac:dyDescent="0.25">
      <c r="H67" s="7" t="s">
        <v>235</v>
      </c>
      <c r="I67" s="8">
        <v>400</v>
      </c>
    </row>
    <row r="68" spans="8:9" x14ac:dyDescent="0.25">
      <c r="H68" s="7" t="s">
        <v>263</v>
      </c>
      <c r="I68" s="8">
        <v>700</v>
      </c>
    </row>
    <row r="69" spans="8:9" x14ac:dyDescent="0.25">
      <c r="H69" s="7" t="s">
        <v>358</v>
      </c>
      <c r="I69" s="8">
        <v>1350</v>
      </c>
    </row>
    <row r="70" spans="8:9" x14ac:dyDescent="0.25">
      <c r="H70" s="7" t="s">
        <v>309</v>
      </c>
      <c r="I70" s="8">
        <v>800</v>
      </c>
    </row>
    <row r="71" spans="8:9" x14ac:dyDescent="0.25">
      <c r="H71" s="7" t="s">
        <v>243</v>
      </c>
      <c r="I71" s="8">
        <v>400</v>
      </c>
    </row>
    <row r="72" spans="8:9" x14ac:dyDescent="0.25">
      <c r="H72" s="7" t="s">
        <v>345</v>
      </c>
      <c r="I72" s="8">
        <v>700</v>
      </c>
    </row>
    <row r="73" spans="8:9" x14ac:dyDescent="0.25">
      <c r="H73" s="7" t="s">
        <v>283</v>
      </c>
      <c r="I73" s="8">
        <v>500</v>
      </c>
    </row>
    <row r="74" spans="8:9" x14ac:dyDescent="0.25">
      <c r="H74" s="7" t="s">
        <v>313</v>
      </c>
      <c r="I74" s="8">
        <v>500</v>
      </c>
    </row>
    <row r="75" spans="8:9" x14ac:dyDescent="0.25">
      <c r="H75" s="7" t="s">
        <v>148</v>
      </c>
      <c r="I75" s="8">
        <v>300</v>
      </c>
    </row>
    <row r="76" spans="8:9" x14ac:dyDescent="0.25">
      <c r="H76" s="7" t="s">
        <v>271</v>
      </c>
      <c r="I76" s="8">
        <v>550</v>
      </c>
    </row>
    <row r="77" spans="8:9" x14ac:dyDescent="0.25">
      <c r="H77" s="7" t="s">
        <v>241</v>
      </c>
      <c r="I77" s="8">
        <v>500</v>
      </c>
    </row>
    <row r="78" spans="8:9" x14ac:dyDescent="0.25">
      <c r="H78" s="7" t="s">
        <v>227</v>
      </c>
      <c r="I78" s="8">
        <v>450</v>
      </c>
    </row>
    <row r="79" spans="8:9" x14ac:dyDescent="0.25">
      <c r="H79" s="7" t="s">
        <v>160</v>
      </c>
      <c r="I79" s="8">
        <v>350</v>
      </c>
    </row>
    <row r="80" spans="8:9" x14ac:dyDescent="0.25">
      <c r="H80" s="7" t="s">
        <v>176</v>
      </c>
      <c r="I80" s="8">
        <v>450</v>
      </c>
    </row>
    <row r="81" spans="8:9" x14ac:dyDescent="0.25">
      <c r="H81" s="7" t="s">
        <v>307</v>
      </c>
      <c r="I81" s="8">
        <v>700</v>
      </c>
    </row>
    <row r="82" spans="8:9" x14ac:dyDescent="0.25">
      <c r="H82" s="7" t="s">
        <v>195</v>
      </c>
      <c r="I82" s="8">
        <v>450</v>
      </c>
    </row>
    <row r="83" spans="8:9" x14ac:dyDescent="0.25">
      <c r="H83" s="7" t="s">
        <v>347</v>
      </c>
      <c r="I83" s="8">
        <v>1200</v>
      </c>
    </row>
    <row r="84" spans="8:9" x14ac:dyDescent="0.25">
      <c r="H84" s="7" t="s">
        <v>261</v>
      </c>
      <c r="I84" s="8">
        <v>700</v>
      </c>
    </row>
    <row r="85" spans="8:9" x14ac:dyDescent="0.25">
      <c r="H85" s="7" t="s">
        <v>259</v>
      </c>
      <c r="I85" s="8">
        <v>500</v>
      </c>
    </row>
    <row r="86" spans="8:9" x14ac:dyDescent="0.25">
      <c r="H86" s="7" t="s">
        <v>329</v>
      </c>
      <c r="I86" s="8">
        <v>450</v>
      </c>
    </row>
    <row r="87" spans="8:9" x14ac:dyDescent="0.25">
      <c r="H87" s="7" t="s">
        <v>184</v>
      </c>
      <c r="I87" s="8">
        <v>400</v>
      </c>
    </row>
    <row r="88" spans="8:9" x14ac:dyDescent="0.25">
      <c r="H88" s="7" t="s">
        <v>301</v>
      </c>
      <c r="I88" s="8">
        <v>500</v>
      </c>
    </row>
    <row r="89" spans="8:9" x14ac:dyDescent="0.25">
      <c r="H89" s="7" t="s">
        <v>197</v>
      </c>
      <c r="I89" s="8">
        <v>600</v>
      </c>
    </row>
    <row r="90" spans="8:9" x14ac:dyDescent="0.25">
      <c r="H90" s="7" t="s">
        <v>249</v>
      </c>
      <c r="I90" s="8">
        <v>650</v>
      </c>
    </row>
    <row r="91" spans="8:9" x14ac:dyDescent="0.25">
      <c r="H91" s="7" t="s">
        <v>251</v>
      </c>
      <c r="I91" s="8">
        <v>550</v>
      </c>
    </row>
    <row r="92" spans="8:9" x14ac:dyDescent="0.25">
      <c r="H92" s="7" t="s">
        <v>269</v>
      </c>
      <c r="I92" s="8">
        <v>450</v>
      </c>
    </row>
    <row r="93" spans="8:9" x14ac:dyDescent="0.25">
      <c r="H93" s="7" t="s">
        <v>218</v>
      </c>
      <c r="I93" s="8">
        <v>500</v>
      </c>
    </row>
    <row r="94" spans="8:9" x14ac:dyDescent="0.25">
      <c r="H94" s="7" t="s">
        <v>188</v>
      </c>
      <c r="I94" s="8">
        <v>450</v>
      </c>
    </row>
    <row r="95" spans="8:9" x14ac:dyDescent="0.25">
      <c r="H95" s="7" t="s">
        <v>333</v>
      </c>
      <c r="I95" s="8">
        <v>500</v>
      </c>
    </row>
    <row r="96" spans="8:9" x14ac:dyDescent="0.25">
      <c r="H96" s="7" t="s">
        <v>166</v>
      </c>
      <c r="I96" s="8">
        <v>400</v>
      </c>
    </row>
    <row r="97" spans="8:9" x14ac:dyDescent="0.25">
      <c r="H97" s="7" t="s">
        <v>253</v>
      </c>
      <c r="I97" s="8">
        <v>350</v>
      </c>
    </row>
    <row r="98" spans="8:9" x14ac:dyDescent="0.25">
      <c r="H98" s="7" t="s">
        <v>237</v>
      </c>
      <c r="I98" s="8">
        <v>450</v>
      </c>
    </row>
    <row r="99" spans="8:9" x14ac:dyDescent="0.25">
      <c r="H99" s="7" t="s">
        <v>190</v>
      </c>
      <c r="I99" s="8">
        <v>400</v>
      </c>
    </row>
    <row r="100" spans="8:9" x14ac:dyDescent="0.25">
      <c r="H100" s="7" t="s">
        <v>351</v>
      </c>
      <c r="I100" s="8">
        <v>950</v>
      </c>
    </row>
    <row r="101" spans="8:9" x14ac:dyDescent="0.25">
      <c r="H101" s="7" t="s">
        <v>353</v>
      </c>
      <c r="I101" s="8">
        <v>950</v>
      </c>
    </row>
    <row r="102" spans="8:9" x14ac:dyDescent="0.25">
      <c r="H102" s="7" t="s">
        <v>163</v>
      </c>
      <c r="I102" s="8">
        <v>350</v>
      </c>
    </row>
    <row r="103" spans="8:9" x14ac:dyDescent="0.25">
      <c r="H103" s="26" t="s">
        <v>365</v>
      </c>
      <c r="I103" s="27">
        <v>55550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Dashboard</vt:lpstr>
      <vt:lpstr>Kode Data</vt:lpstr>
      <vt:lpstr>Master Data</vt:lpstr>
      <vt:lpstr>Tracking Distribusi Barang</vt:lpstr>
      <vt:lpstr>Pivot Tabel</vt:lpstr>
      <vt:lpstr>Barang</vt:lpstr>
      <vt:lpstr>Ekspedisi</vt:lpstr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irsyad rafi</cp:lastModifiedBy>
  <dcterms:modified xsi:type="dcterms:W3CDTF">2026-03-09T09:09:47Z</dcterms:modified>
</cp:coreProperties>
</file>